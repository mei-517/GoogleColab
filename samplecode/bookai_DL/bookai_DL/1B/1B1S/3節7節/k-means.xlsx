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9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0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1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12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drawings/drawing13.xml" ContentType="application/vnd.openxmlformats-officedocument.drawing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drawings/drawing14.xml" ContentType="application/vnd.openxmlformats-officedocument.drawing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drawings/drawing15.xml" ContentType="application/vnd.openxmlformats-officedocument.drawing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7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drawings/drawing16.xml" ContentType="application/vnd.openxmlformats-officedocument.drawing+xml"/>
  <Override PartName="/xl/charts/chart28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charts/chart29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0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1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2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3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drawings/drawing17.xml" ContentType="application/vnd.openxmlformats-officedocument.drawing+xml"/>
  <Override PartName="/xl/charts/chart34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charts/chart35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charts/chart36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charts/chart37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harts/chart38.xml" ContentType="application/vnd.openxmlformats-officedocument.drawingml.chart+xml"/>
  <Override PartName="/xl/charts/style38.xml" ContentType="application/vnd.ms-office.chartstyle+xml"/>
  <Override PartName="/xl/charts/colors38.xml" ContentType="application/vnd.ms-office.chartcolorstyle+xml"/>
  <Override PartName="/xl/charts/chart39.xml" ContentType="application/vnd.openxmlformats-officedocument.drawingml.chart+xml"/>
  <Override PartName="/xl/charts/style39.xml" ContentType="application/vnd.ms-office.chartstyle+xml"/>
  <Override PartName="/xl/charts/colors39.xml" ContentType="application/vnd.ms-office.chartcolorstyle+xml"/>
  <Override PartName="/xl/drawings/drawing18.xml" ContentType="application/vnd.openxmlformats-officedocument.drawing+xml"/>
  <Override PartName="/xl/charts/chart40.xml" ContentType="application/vnd.openxmlformats-officedocument.drawingml.chart+xml"/>
  <Override PartName="/xl/charts/style40.xml" ContentType="application/vnd.ms-office.chartstyle+xml"/>
  <Override PartName="/xl/charts/colors40.xml" ContentType="application/vnd.ms-office.chartcolorstyle+xml"/>
  <Override PartName="/xl/charts/chart41.xml" ContentType="application/vnd.openxmlformats-officedocument.drawingml.chart+xml"/>
  <Override PartName="/xl/charts/style41.xml" ContentType="application/vnd.ms-office.chartstyle+xml"/>
  <Override PartName="/xl/charts/colors41.xml" ContentType="application/vnd.ms-office.chartcolorstyle+xml"/>
  <Override PartName="/xl/charts/chart42.xml" ContentType="application/vnd.openxmlformats-officedocument.drawingml.chart+xml"/>
  <Override PartName="/xl/charts/style42.xml" ContentType="application/vnd.ms-office.chartstyle+xml"/>
  <Override PartName="/xl/charts/colors42.xml" ContentType="application/vnd.ms-office.chartcolorstyle+xml"/>
  <Override PartName="/xl/charts/chart43.xml" ContentType="application/vnd.openxmlformats-officedocument.drawingml.chart+xml"/>
  <Override PartName="/xl/charts/style43.xml" ContentType="application/vnd.ms-office.chartstyle+xml"/>
  <Override PartName="/xl/charts/colors43.xml" ContentType="application/vnd.ms-office.chartcolorstyle+xml"/>
  <Override PartName="/xl/charts/chart44.xml" ContentType="application/vnd.openxmlformats-officedocument.drawingml.chart+xml"/>
  <Override PartName="/xl/charts/style44.xml" ContentType="application/vnd.ms-office.chartstyle+xml"/>
  <Override PartName="/xl/charts/colors44.xml" ContentType="application/vnd.ms-office.chartcolorstyle+xml"/>
  <Override PartName="/xl/charts/chart45.xml" ContentType="application/vnd.openxmlformats-officedocument.drawingml.chart+xml"/>
  <Override PartName="/xl/charts/style45.xml" ContentType="application/vnd.ms-office.chartstyle+xml"/>
  <Override PartName="/xl/charts/colors45.xml" ContentType="application/vnd.ms-office.chartcolorstyle+xml"/>
  <Override PartName="/xl/drawings/drawing19.xml" ContentType="application/vnd.openxmlformats-officedocument.drawing+xml"/>
  <Override PartName="/xl/charts/chart46.xml" ContentType="application/vnd.openxmlformats-officedocument.drawingml.chart+xml"/>
  <Override PartName="/xl/charts/style46.xml" ContentType="application/vnd.ms-office.chartstyle+xml"/>
  <Override PartName="/xl/charts/colors46.xml" ContentType="application/vnd.ms-office.chartcolorstyle+xml"/>
  <Override PartName="/xl/charts/chart47.xml" ContentType="application/vnd.openxmlformats-officedocument.drawingml.chart+xml"/>
  <Override PartName="/xl/charts/style47.xml" ContentType="application/vnd.ms-office.chartstyle+xml"/>
  <Override PartName="/xl/charts/colors47.xml" ContentType="application/vnd.ms-office.chartcolorstyle+xml"/>
  <Override PartName="/xl/charts/chart48.xml" ContentType="application/vnd.openxmlformats-officedocument.drawingml.chart+xml"/>
  <Override PartName="/xl/charts/style48.xml" ContentType="application/vnd.ms-office.chartstyle+xml"/>
  <Override PartName="/xl/charts/colors48.xml" ContentType="application/vnd.ms-office.chartcolorstyle+xml"/>
  <Override PartName="/xl/charts/chart49.xml" ContentType="application/vnd.openxmlformats-officedocument.drawingml.chart+xml"/>
  <Override PartName="/xl/charts/style49.xml" ContentType="application/vnd.ms-office.chartstyle+xml"/>
  <Override PartName="/xl/charts/colors49.xml" ContentType="application/vnd.ms-office.chartcolorstyle+xml"/>
  <Override PartName="/xl/charts/chart50.xml" ContentType="application/vnd.openxmlformats-officedocument.drawingml.chart+xml"/>
  <Override PartName="/xl/charts/style50.xml" ContentType="application/vnd.ms-office.chartstyle+xml"/>
  <Override PartName="/xl/charts/colors50.xml" ContentType="application/vnd.ms-office.chartcolorstyle+xml"/>
  <Override PartName="/xl/charts/chart51.xml" ContentType="application/vnd.openxmlformats-officedocument.drawingml.chart+xml"/>
  <Override PartName="/xl/charts/style51.xml" ContentType="application/vnd.ms-office.chartstyle+xml"/>
  <Override PartName="/xl/charts/colors51.xml" ContentType="application/vnd.ms-office.chartcolorstyle+xml"/>
  <Override PartName="/xl/drawings/drawing20.xml" ContentType="application/vnd.openxmlformats-officedocument.drawing+xml"/>
  <Override PartName="/xl/charts/chart52.xml" ContentType="application/vnd.openxmlformats-officedocument.drawingml.chart+xml"/>
  <Override PartName="/xl/charts/style52.xml" ContentType="application/vnd.ms-office.chartstyle+xml"/>
  <Override PartName="/xl/charts/colors52.xml" ContentType="application/vnd.ms-office.chartcolorstyle+xml"/>
  <Override PartName="/xl/charts/chart53.xml" ContentType="application/vnd.openxmlformats-officedocument.drawingml.chart+xml"/>
  <Override PartName="/xl/charts/style53.xml" ContentType="application/vnd.ms-office.chartstyle+xml"/>
  <Override PartName="/xl/charts/colors53.xml" ContentType="application/vnd.ms-office.chartcolorstyle+xml"/>
  <Override PartName="/xl/charts/chart54.xml" ContentType="application/vnd.openxmlformats-officedocument.drawingml.chart+xml"/>
  <Override PartName="/xl/charts/style54.xml" ContentType="application/vnd.ms-office.chartstyle+xml"/>
  <Override PartName="/xl/charts/colors54.xml" ContentType="application/vnd.ms-office.chartcolorstyle+xml"/>
  <Override PartName="/xl/charts/chart55.xml" ContentType="application/vnd.openxmlformats-officedocument.drawingml.chart+xml"/>
  <Override PartName="/xl/charts/style55.xml" ContentType="application/vnd.ms-office.chartstyle+xml"/>
  <Override PartName="/xl/charts/colors55.xml" ContentType="application/vnd.ms-office.chartcolorstyle+xml"/>
  <Override PartName="/xl/charts/chart56.xml" ContentType="application/vnd.openxmlformats-officedocument.drawingml.chart+xml"/>
  <Override PartName="/xl/charts/style56.xml" ContentType="application/vnd.ms-office.chartstyle+xml"/>
  <Override PartName="/xl/charts/colors56.xml" ContentType="application/vnd.ms-office.chartcolorstyle+xml"/>
  <Override PartName="/xl/charts/chart57.xml" ContentType="application/vnd.openxmlformats-officedocument.drawingml.chart+xml"/>
  <Override PartName="/xl/charts/style57.xml" ContentType="application/vnd.ms-office.chartstyle+xml"/>
  <Override PartName="/xl/charts/colors57.xml" ContentType="application/vnd.ms-office.chartcolorstyle+xml"/>
  <Override PartName="/xl/charts/chart58.xml" ContentType="application/vnd.openxmlformats-officedocument.drawingml.chart+xml"/>
  <Override PartName="/xl/charts/style58.xml" ContentType="application/vnd.ms-office.chartstyle+xml"/>
  <Override PartName="/xl/charts/colors58.xml" ContentType="application/vnd.ms-office.chartcolorstyle+xml"/>
  <Override PartName="/xl/charts/chart59.xml" ContentType="application/vnd.openxmlformats-officedocument.drawingml.chart+xml"/>
  <Override PartName="/xl/charts/style59.xml" ContentType="application/vnd.ms-office.chartstyle+xml"/>
  <Override PartName="/xl/charts/colors59.xml" ContentType="application/vnd.ms-office.chartcolorstyle+xml"/>
  <Override PartName="/xl/drawings/drawing21.xml" ContentType="application/vnd.openxmlformats-officedocument.drawing+xml"/>
  <Override PartName="/xl/charts/chart60.xml" ContentType="application/vnd.openxmlformats-officedocument.drawingml.chart+xml"/>
  <Override PartName="/xl/charts/style60.xml" ContentType="application/vnd.ms-office.chartstyle+xml"/>
  <Override PartName="/xl/charts/colors60.xml" ContentType="application/vnd.ms-office.chartcolorstyle+xml"/>
  <Override PartName="/xl/charts/chart61.xml" ContentType="application/vnd.openxmlformats-officedocument.drawingml.chart+xml"/>
  <Override PartName="/xl/charts/style61.xml" ContentType="application/vnd.ms-office.chartstyle+xml"/>
  <Override PartName="/xl/charts/colors61.xml" ContentType="application/vnd.ms-office.chartcolorstyle+xml"/>
  <Override PartName="/xl/charts/chart62.xml" ContentType="application/vnd.openxmlformats-officedocument.drawingml.chart+xml"/>
  <Override PartName="/xl/charts/style62.xml" ContentType="application/vnd.ms-office.chartstyle+xml"/>
  <Override PartName="/xl/charts/colors62.xml" ContentType="application/vnd.ms-office.chartcolorstyle+xml"/>
  <Override PartName="/xl/charts/chart63.xml" ContentType="application/vnd.openxmlformats-officedocument.drawingml.chart+xml"/>
  <Override PartName="/xl/charts/style63.xml" ContentType="application/vnd.ms-office.chartstyle+xml"/>
  <Override PartName="/xl/charts/colors63.xml" ContentType="application/vnd.ms-office.chartcolorstyle+xml"/>
  <Override PartName="/xl/charts/chart64.xml" ContentType="application/vnd.openxmlformats-officedocument.drawingml.chart+xml"/>
  <Override PartName="/xl/charts/style64.xml" ContentType="application/vnd.ms-office.chartstyle+xml"/>
  <Override PartName="/xl/charts/colors64.xml" ContentType="application/vnd.ms-office.chartcolorstyle+xml"/>
  <Override PartName="/xl/charts/chart65.xml" ContentType="application/vnd.openxmlformats-officedocument.drawingml.chart+xml"/>
  <Override PartName="/xl/charts/style65.xml" ContentType="application/vnd.ms-office.chartstyle+xml"/>
  <Override PartName="/xl/charts/colors65.xml" ContentType="application/vnd.ms-office.chartcolorstyle+xml"/>
  <Override PartName="/xl/charts/chart66.xml" ContentType="application/vnd.openxmlformats-officedocument.drawingml.chart+xml"/>
  <Override PartName="/xl/charts/style66.xml" ContentType="application/vnd.ms-office.chartstyle+xml"/>
  <Override PartName="/xl/charts/colors66.xml" ContentType="application/vnd.ms-office.chartcolorstyle+xml"/>
  <Override PartName="/xl/charts/chart67.xml" ContentType="application/vnd.openxmlformats-officedocument.drawingml.chart+xml"/>
  <Override PartName="/xl/charts/style67.xml" ContentType="application/vnd.ms-office.chartstyle+xml"/>
  <Override PartName="/xl/charts/colors67.xml" ContentType="application/vnd.ms-office.chartcolorstyle+xml"/>
  <Override PartName="/xl/charts/chart68.xml" ContentType="application/vnd.openxmlformats-officedocument.drawingml.chart+xml"/>
  <Override PartName="/xl/charts/style68.xml" ContentType="application/vnd.ms-office.chartstyle+xml"/>
  <Override PartName="/xl/charts/colors68.xml" ContentType="application/vnd.ms-office.chartcolorstyle+xml"/>
  <Override PartName="/xl/drawings/drawing22.xml" ContentType="application/vnd.openxmlformats-officedocument.drawing+xml"/>
  <Override PartName="/xl/charts/chart69.xml" ContentType="application/vnd.openxmlformats-officedocument.drawingml.chart+xml"/>
  <Override PartName="/xl/charts/style69.xml" ContentType="application/vnd.ms-office.chartstyle+xml"/>
  <Override PartName="/xl/charts/colors69.xml" ContentType="application/vnd.ms-office.chartcolorstyle+xml"/>
  <Override PartName="/xl/charts/chart70.xml" ContentType="application/vnd.openxmlformats-officedocument.drawingml.chart+xml"/>
  <Override PartName="/xl/charts/style70.xml" ContentType="application/vnd.ms-office.chartstyle+xml"/>
  <Override PartName="/xl/charts/colors70.xml" ContentType="application/vnd.ms-office.chartcolorstyle+xml"/>
  <Override PartName="/xl/charts/chart71.xml" ContentType="application/vnd.openxmlformats-officedocument.drawingml.chart+xml"/>
  <Override PartName="/xl/charts/style71.xml" ContentType="application/vnd.ms-office.chartstyle+xml"/>
  <Override PartName="/xl/charts/colors71.xml" ContentType="application/vnd.ms-office.chartcolorstyle+xml"/>
  <Override PartName="/xl/charts/chart72.xml" ContentType="application/vnd.openxmlformats-officedocument.drawingml.chart+xml"/>
  <Override PartName="/xl/charts/style72.xml" ContentType="application/vnd.ms-office.chartstyle+xml"/>
  <Override PartName="/xl/charts/colors72.xml" ContentType="application/vnd.ms-office.chartcolorstyle+xml"/>
  <Override PartName="/xl/charts/chart73.xml" ContentType="application/vnd.openxmlformats-officedocument.drawingml.chart+xml"/>
  <Override PartName="/xl/charts/style73.xml" ContentType="application/vnd.ms-office.chartstyle+xml"/>
  <Override PartName="/xl/charts/colors73.xml" ContentType="application/vnd.ms-office.chartcolorstyle+xml"/>
  <Override PartName="/xl/drawings/drawing23.xml" ContentType="application/vnd.openxmlformats-officedocument.drawing+xml"/>
  <Override PartName="/xl/charts/chart74.xml" ContentType="application/vnd.openxmlformats-officedocument.drawingml.chart+xml"/>
  <Override PartName="/xl/charts/style74.xml" ContentType="application/vnd.ms-office.chartstyle+xml"/>
  <Override PartName="/xl/charts/colors74.xml" ContentType="application/vnd.ms-office.chartcolorstyle+xml"/>
  <Override PartName="/xl/charts/chart75.xml" ContentType="application/vnd.openxmlformats-officedocument.drawingml.chart+xml"/>
  <Override PartName="/xl/charts/style75.xml" ContentType="application/vnd.ms-office.chartstyle+xml"/>
  <Override PartName="/xl/charts/colors75.xml" ContentType="application/vnd.ms-office.chartcolorstyle+xml"/>
  <Override PartName="/xl/charts/chart76.xml" ContentType="application/vnd.openxmlformats-officedocument.drawingml.chart+xml"/>
  <Override PartName="/xl/charts/style76.xml" ContentType="application/vnd.ms-office.chartstyle+xml"/>
  <Override PartName="/xl/charts/colors76.xml" ContentType="application/vnd.ms-office.chartcolorstyle+xml"/>
  <Override PartName="/xl/charts/chart77.xml" ContentType="application/vnd.openxmlformats-officedocument.drawingml.chart+xml"/>
  <Override PartName="/xl/charts/style77.xml" ContentType="application/vnd.ms-office.chartstyle+xml"/>
  <Override PartName="/xl/charts/colors77.xml" ContentType="application/vnd.ms-office.chartcolorstyle+xml"/>
  <Override PartName="/xl/charts/chart78.xml" ContentType="application/vnd.openxmlformats-officedocument.drawingml.chart+xml"/>
  <Override PartName="/xl/charts/style78.xml" ContentType="application/vnd.ms-office.chartstyle+xml"/>
  <Override PartName="/xl/charts/colors7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9"/>
  <workbookPr filterPrivacy="1"/>
  <xr:revisionPtr revIDLastSave="0" documentId="13_ncr:1_{3DBE95F8-297D-4DF3-AF2A-35D331051F6B}" xr6:coauthVersionLast="36" xr6:coauthVersionMax="36" xr10:uidLastSave="{00000000-0000-0000-0000-000000000000}"/>
  <bookViews>
    <workbookView xWindow="0" yWindow="0" windowWidth="22260" windowHeight="12650" activeTab="22" xr2:uid="{00000000-000D-0000-FFFF-FFFF00000000}"/>
  </bookViews>
  <sheets>
    <sheet name="0" sheetId="1" r:id="rId1"/>
    <sheet name="1" sheetId="2" r:id="rId2"/>
    <sheet name="2" sheetId="3" r:id="rId3"/>
    <sheet name="3" sheetId="5" r:id="rId4"/>
    <sheet name="2 (2)" sheetId="4" r:id="rId5"/>
    <sheet name="2 (3)" sheetId="6" r:id="rId6"/>
    <sheet name="2 (4)" sheetId="7" r:id="rId7"/>
    <sheet name="2 (5)" sheetId="8" r:id="rId8"/>
    <sheet name="2 (6)" sheetId="9" r:id="rId9"/>
    <sheet name="2 (7)" sheetId="10" r:id="rId10"/>
    <sheet name="2 (8)" sheetId="11" r:id="rId11"/>
    <sheet name="2 (9)" sheetId="12" r:id="rId12"/>
    <sheet name="2 (10)" sheetId="13" r:id="rId13"/>
    <sheet name="2 (11)" sheetId="14" r:id="rId14"/>
    <sheet name="2 (12)" sheetId="15" r:id="rId15"/>
    <sheet name="2 (13)" sheetId="16" r:id="rId16"/>
    <sheet name="2 (14)" sheetId="17" r:id="rId17"/>
    <sheet name="3分類" sheetId="18" r:id="rId18"/>
    <sheet name="3分類 (2)" sheetId="20" r:id="rId19"/>
    <sheet name="3分類 (3)" sheetId="21" r:id="rId20"/>
    <sheet name="3分類 (4)" sheetId="22" r:id="rId21"/>
    <sheet name="3分類 (5)" sheetId="23" r:id="rId22"/>
    <sheet name="3分類 (6)" sheetId="24" r:id="rId2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0" i="24" l="1"/>
  <c r="P10" i="24" s="1"/>
  <c r="G9" i="24"/>
  <c r="P9" i="24" s="1"/>
  <c r="G8" i="24"/>
  <c r="P8" i="24" s="1"/>
  <c r="G2" i="24"/>
  <c r="F7" i="24"/>
  <c r="O7" i="24" s="1"/>
  <c r="E6" i="24"/>
  <c r="N6" i="24" s="1"/>
  <c r="F2" i="24"/>
  <c r="F4" i="24"/>
  <c r="O4" i="24" s="1"/>
  <c r="B33" i="24"/>
  <c r="A32" i="24"/>
  <c r="B31" i="24"/>
  <c r="A31" i="24"/>
  <c r="B29" i="24"/>
  <c r="A28" i="24"/>
  <c r="B27" i="24"/>
  <c r="A27" i="24"/>
  <c r="B22" i="24"/>
  <c r="B34" i="24" s="1"/>
  <c r="A22" i="24"/>
  <c r="A34" i="24" s="1"/>
  <c r="B21" i="24"/>
  <c r="A21" i="24"/>
  <c r="A33" i="24" s="1"/>
  <c r="B20" i="24"/>
  <c r="B32" i="24" s="1"/>
  <c r="A20" i="24"/>
  <c r="B19" i="24"/>
  <c r="A19" i="24"/>
  <c r="B18" i="24"/>
  <c r="B30" i="24" s="1"/>
  <c r="A18" i="24"/>
  <c r="A30" i="24" s="1"/>
  <c r="B17" i="24"/>
  <c r="A17" i="24"/>
  <c r="A29" i="24" s="1"/>
  <c r="B16" i="24"/>
  <c r="B28" i="24" s="1"/>
  <c r="A16" i="24"/>
  <c r="B15" i="24"/>
  <c r="A15" i="24"/>
  <c r="B14" i="24"/>
  <c r="B26" i="24" s="1"/>
  <c r="A14" i="24"/>
  <c r="A26" i="24" s="1"/>
  <c r="G5" i="24"/>
  <c r="P5" i="24" s="1"/>
  <c r="F5" i="24"/>
  <c r="O5" i="24" s="1"/>
  <c r="E5" i="24"/>
  <c r="N5" i="24" s="1"/>
  <c r="D5" i="24"/>
  <c r="M5" i="24" s="1"/>
  <c r="E4" i="24"/>
  <c r="N4" i="24" s="1"/>
  <c r="D4" i="24"/>
  <c r="M4" i="24" s="1"/>
  <c r="G3" i="24"/>
  <c r="P3" i="24" s="1"/>
  <c r="F3" i="24"/>
  <c r="O3" i="24" s="1"/>
  <c r="E3" i="24"/>
  <c r="N3" i="24" s="1"/>
  <c r="D3" i="24"/>
  <c r="M3" i="24" s="1"/>
  <c r="E2" i="24"/>
  <c r="D2" i="24"/>
  <c r="M2" i="24" s="1"/>
  <c r="B22" i="23"/>
  <c r="B34" i="23" s="1"/>
  <c r="A22" i="23"/>
  <c r="A34" i="23" s="1"/>
  <c r="B21" i="23"/>
  <c r="B33" i="23" s="1"/>
  <c r="A21" i="23"/>
  <c r="B20" i="23"/>
  <c r="B32" i="23" s="1"/>
  <c r="A20" i="23"/>
  <c r="A32" i="23" s="1"/>
  <c r="B19" i="23"/>
  <c r="B31" i="23" s="1"/>
  <c r="A19" i="23"/>
  <c r="B18" i="23"/>
  <c r="B30" i="23" s="1"/>
  <c r="A18" i="23"/>
  <c r="A30" i="23" s="1"/>
  <c r="B17" i="23"/>
  <c r="B29" i="23" s="1"/>
  <c r="A17" i="23"/>
  <c r="B16" i="23"/>
  <c r="B28" i="23" s="1"/>
  <c r="A16" i="23"/>
  <c r="A28" i="23" s="1"/>
  <c r="B15" i="23"/>
  <c r="B27" i="23" s="1"/>
  <c r="A15" i="23"/>
  <c r="A27" i="23" s="1"/>
  <c r="B14" i="23"/>
  <c r="B26" i="23" s="1"/>
  <c r="A14" i="23"/>
  <c r="A26" i="23" s="1"/>
  <c r="G10" i="23"/>
  <c r="P10" i="23" s="1"/>
  <c r="F10" i="23"/>
  <c r="O10" i="23" s="1"/>
  <c r="E10" i="23"/>
  <c r="N10" i="23" s="1"/>
  <c r="D10" i="23"/>
  <c r="M10" i="23" s="1"/>
  <c r="G9" i="23"/>
  <c r="P9" i="23" s="1"/>
  <c r="F9" i="23"/>
  <c r="O9" i="23" s="1"/>
  <c r="E9" i="23"/>
  <c r="N9" i="23" s="1"/>
  <c r="D9" i="23"/>
  <c r="M9" i="23" s="1"/>
  <c r="G8" i="23"/>
  <c r="P8" i="23" s="1"/>
  <c r="F8" i="23"/>
  <c r="O8" i="23" s="1"/>
  <c r="E8" i="23"/>
  <c r="N8" i="23" s="1"/>
  <c r="D8" i="23"/>
  <c r="M8" i="23" s="1"/>
  <c r="G7" i="23"/>
  <c r="P7" i="23" s="1"/>
  <c r="F7" i="23"/>
  <c r="O7" i="23" s="1"/>
  <c r="E7" i="23"/>
  <c r="N7" i="23" s="1"/>
  <c r="D7" i="23"/>
  <c r="M7" i="23" s="1"/>
  <c r="G6" i="23"/>
  <c r="P6" i="23" s="1"/>
  <c r="F6" i="23"/>
  <c r="O6" i="23" s="1"/>
  <c r="E6" i="23"/>
  <c r="N6" i="23" s="1"/>
  <c r="D6" i="23"/>
  <c r="M6" i="23" s="1"/>
  <c r="G5" i="23"/>
  <c r="P5" i="23" s="1"/>
  <c r="F5" i="23"/>
  <c r="O5" i="23" s="1"/>
  <c r="E5" i="23"/>
  <c r="N5" i="23" s="1"/>
  <c r="D5" i="23"/>
  <c r="M5" i="23" s="1"/>
  <c r="G4" i="23"/>
  <c r="P4" i="23" s="1"/>
  <c r="F4" i="23"/>
  <c r="O4" i="23" s="1"/>
  <c r="E4" i="23"/>
  <c r="N4" i="23" s="1"/>
  <c r="D4" i="23"/>
  <c r="M4" i="23" s="1"/>
  <c r="G3" i="23"/>
  <c r="P3" i="23" s="1"/>
  <c r="F3" i="23"/>
  <c r="O3" i="23" s="1"/>
  <c r="E3" i="23"/>
  <c r="N3" i="23" s="1"/>
  <c r="D3" i="23"/>
  <c r="M3" i="23" s="1"/>
  <c r="G2" i="23"/>
  <c r="P2" i="23" s="1"/>
  <c r="F2" i="23"/>
  <c r="E2" i="23"/>
  <c r="D2" i="23"/>
  <c r="B44" i="22"/>
  <c r="A44" i="22"/>
  <c r="B43" i="22"/>
  <c r="A43" i="22"/>
  <c r="B42" i="22"/>
  <c r="A42" i="22"/>
  <c r="B41" i="22"/>
  <c r="A41" i="22"/>
  <c r="B40" i="22"/>
  <c r="A40" i="22"/>
  <c r="B39" i="22"/>
  <c r="A39" i="22"/>
  <c r="B38" i="22"/>
  <c r="A38" i="22"/>
  <c r="B37" i="22"/>
  <c r="A37" i="22"/>
  <c r="B36" i="22"/>
  <c r="A36" i="22"/>
  <c r="A33" i="22"/>
  <c r="B32" i="22"/>
  <c r="B31" i="22"/>
  <c r="A31" i="22"/>
  <c r="A29" i="22"/>
  <c r="B27" i="22"/>
  <c r="A27" i="22"/>
  <c r="B25" i="22"/>
  <c r="B21" i="22"/>
  <c r="B33" i="22" s="1"/>
  <c r="A21" i="22"/>
  <c r="B20" i="22"/>
  <c r="A20" i="22"/>
  <c r="B19" i="22"/>
  <c r="A19" i="22"/>
  <c r="B18" i="22"/>
  <c r="B30" i="22" s="1"/>
  <c r="A18" i="22"/>
  <c r="B17" i="22"/>
  <c r="B29" i="22" s="1"/>
  <c r="A17" i="22"/>
  <c r="B16" i="22"/>
  <c r="B28" i="22" s="1"/>
  <c r="A16" i="22"/>
  <c r="A28" i="22" s="1"/>
  <c r="B15" i="22"/>
  <c r="A15" i="22"/>
  <c r="B14" i="22"/>
  <c r="B26" i="22" s="1"/>
  <c r="A14" i="22"/>
  <c r="B13" i="22"/>
  <c r="A13" i="22"/>
  <c r="A25" i="22" s="1"/>
  <c r="G9" i="22"/>
  <c r="R9" i="22" s="1"/>
  <c r="F9" i="22"/>
  <c r="Q9" i="22" s="1"/>
  <c r="E9" i="22"/>
  <c r="P9" i="22" s="1"/>
  <c r="D9" i="22"/>
  <c r="O9" i="22" s="1"/>
  <c r="G8" i="22"/>
  <c r="R8" i="22" s="1"/>
  <c r="F8" i="22"/>
  <c r="Q8" i="22" s="1"/>
  <c r="E8" i="22"/>
  <c r="P8" i="22" s="1"/>
  <c r="D8" i="22"/>
  <c r="O8" i="22" s="1"/>
  <c r="Q7" i="22"/>
  <c r="G7" i="22"/>
  <c r="R7" i="22" s="1"/>
  <c r="F7" i="22"/>
  <c r="E7" i="22"/>
  <c r="P7" i="22" s="1"/>
  <c r="D7" i="22"/>
  <c r="O7" i="22" s="1"/>
  <c r="Q6" i="22"/>
  <c r="G6" i="22"/>
  <c r="R6" i="22" s="1"/>
  <c r="F6" i="22"/>
  <c r="E6" i="22"/>
  <c r="P6" i="22" s="1"/>
  <c r="D6" i="22"/>
  <c r="O6" i="22" s="1"/>
  <c r="G5" i="22"/>
  <c r="R5" i="22" s="1"/>
  <c r="F5" i="22"/>
  <c r="Q5" i="22" s="1"/>
  <c r="E5" i="22"/>
  <c r="P5" i="22" s="1"/>
  <c r="D5" i="22"/>
  <c r="O5" i="22" s="1"/>
  <c r="G4" i="22"/>
  <c r="R4" i="22" s="1"/>
  <c r="F4" i="22"/>
  <c r="Q4" i="22" s="1"/>
  <c r="E4" i="22"/>
  <c r="P4" i="22" s="1"/>
  <c r="D4" i="22"/>
  <c r="O4" i="22" s="1"/>
  <c r="G3" i="22"/>
  <c r="R3" i="22" s="1"/>
  <c r="F3" i="22"/>
  <c r="E3" i="22"/>
  <c r="P3" i="22" s="1"/>
  <c r="D3" i="22"/>
  <c r="O3" i="22" s="1"/>
  <c r="R2" i="22"/>
  <c r="Q2" i="22"/>
  <c r="G2" i="22"/>
  <c r="F2" i="22"/>
  <c r="E2" i="22"/>
  <c r="P2" i="22" s="1"/>
  <c r="D2" i="22"/>
  <c r="O2" i="22" s="1"/>
  <c r="R1" i="22"/>
  <c r="Q1" i="22"/>
  <c r="P1" i="22"/>
  <c r="O1" i="22"/>
  <c r="G1" i="22"/>
  <c r="F1" i="22"/>
  <c r="E1" i="22"/>
  <c r="D1" i="22"/>
  <c r="B44" i="21"/>
  <c r="A44" i="21"/>
  <c r="B43" i="21"/>
  <c r="A43" i="21"/>
  <c r="B42" i="21"/>
  <c r="A42" i="21"/>
  <c r="B41" i="21"/>
  <c r="A41" i="21"/>
  <c r="B40" i="21"/>
  <c r="A40" i="21"/>
  <c r="B39" i="21"/>
  <c r="A39" i="21"/>
  <c r="B38" i="21"/>
  <c r="A38" i="21"/>
  <c r="B37" i="21"/>
  <c r="A37" i="21"/>
  <c r="B36" i="21"/>
  <c r="A36" i="21"/>
  <c r="B33" i="21"/>
  <c r="A33" i="21"/>
  <c r="B31" i="21"/>
  <c r="A31" i="21"/>
  <c r="B30" i="21"/>
  <c r="B29" i="21"/>
  <c r="A29" i="21"/>
  <c r="B27" i="21"/>
  <c r="A27" i="21"/>
  <c r="B25" i="21"/>
  <c r="A25" i="21"/>
  <c r="B21" i="21"/>
  <c r="A21" i="21"/>
  <c r="B20" i="21"/>
  <c r="B32" i="21" s="1"/>
  <c r="A20" i="21"/>
  <c r="B19" i="21"/>
  <c r="A19" i="21"/>
  <c r="B18" i="21"/>
  <c r="A18" i="21"/>
  <c r="B17" i="21"/>
  <c r="A17" i="21"/>
  <c r="B16" i="21"/>
  <c r="B28" i="21" s="1"/>
  <c r="A16" i="21"/>
  <c r="B15" i="21"/>
  <c r="A15" i="21"/>
  <c r="B14" i="21"/>
  <c r="B26" i="21" s="1"/>
  <c r="A14" i="21"/>
  <c r="A26" i="21" s="1"/>
  <c r="B13" i="21"/>
  <c r="A13" i="21"/>
  <c r="G9" i="21"/>
  <c r="R9" i="21" s="1"/>
  <c r="F9" i="21"/>
  <c r="Q9" i="21" s="1"/>
  <c r="E9" i="21"/>
  <c r="P9" i="21" s="1"/>
  <c r="D9" i="21"/>
  <c r="O9" i="21" s="1"/>
  <c r="G8" i="21"/>
  <c r="R8" i="21" s="1"/>
  <c r="F8" i="21"/>
  <c r="Q8" i="21" s="1"/>
  <c r="E8" i="21"/>
  <c r="P8" i="21" s="1"/>
  <c r="D8" i="21"/>
  <c r="O8" i="21" s="1"/>
  <c r="G7" i="21"/>
  <c r="R7" i="21" s="1"/>
  <c r="F7" i="21"/>
  <c r="Q7" i="21" s="1"/>
  <c r="E7" i="21"/>
  <c r="P7" i="21" s="1"/>
  <c r="D7" i="21"/>
  <c r="O7" i="21" s="1"/>
  <c r="G6" i="21"/>
  <c r="R6" i="21" s="1"/>
  <c r="F6" i="21"/>
  <c r="Q6" i="21" s="1"/>
  <c r="E6" i="21"/>
  <c r="P6" i="21" s="1"/>
  <c r="D6" i="21"/>
  <c r="O6" i="21" s="1"/>
  <c r="G5" i="21"/>
  <c r="R5" i="21" s="1"/>
  <c r="F5" i="21"/>
  <c r="Q5" i="21" s="1"/>
  <c r="E5" i="21"/>
  <c r="P5" i="21" s="1"/>
  <c r="D5" i="21"/>
  <c r="O5" i="21" s="1"/>
  <c r="G4" i="21"/>
  <c r="R4" i="21" s="1"/>
  <c r="F4" i="21"/>
  <c r="Q4" i="21" s="1"/>
  <c r="E4" i="21"/>
  <c r="P4" i="21" s="1"/>
  <c r="D4" i="21"/>
  <c r="O4" i="21" s="1"/>
  <c r="Q3" i="21"/>
  <c r="P3" i="21"/>
  <c r="G3" i="21"/>
  <c r="R3" i="21" s="1"/>
  <c r="F3" i="21"/>
  <c r="E3" i="21"/>
  <c r="D3" i="21"/>
  <c r="O3" i="21" s="1"/>
  <c r="G2" i="21"/>
  <c r="R2" i="21" s="1"/>
  <c r="F2" i="21"/>
  <c r="Q2" i="21" s="1"/>
  <c r="E2" i="21"/>
  <c r="P2" i="21" s="1"/>
  <c r="D2" i="21"/>
  <c r="O2" i="21" s="1"/>
  <c r="Q1" i="21"/>
  <c r="P1" i="21"/>
  <c r="G1" i="21"/>
  <c r="F1" i="21"/>
  <c r="E1" i="21"/>
  <c r="D1" i="21"/>
  <c r="O1" i="21" s="1"/>
  <c r="E10" i="24" l="1"/>
  <c r="N10" i="24" s="1"/>
  <c r="G4" i="24"/>
  <c r="P4" i="24" s="1"/>
  <c r="F10" i="24"/>
  <c r="O10" i="24" s="1"/>
  <c r="E9" i="24"/>
  <c r="N9" i="24" s="1"/>
  <c r="F9" i="24"/>
  <c r="O9" i="24" s="1"/>
  <c r="D10" i="24"/>
  <c r="M10" i="24" s="1"/>
  <c r="G7" i="24"/>
  <c r="P7" i="24" s="1"/>
  <c r="D8" i="24"/>
  <c r="M8" i="24" s="1"/>
  <c r="F6" i="24"/>
  <c r="O6" i="24" s="1"/>
  <c r="E8" i="24"/>
  <c r="N8" i="24" s="1"/>
  <c r="F8" i="24"/>
  <c r="O8" i="24" s="1"/>
  <c r="D7" i="24"/>
  <c r="M7" i="24" s="1"/>
  <c r="E7" i="24"/>
  <c r="N7" i="24" s="1"/>
  <c r="D6" i="24"/>
  <c r="M6" i="24" s="1"/>
  <c r="D9" i="24"/>
  <c r="M9" i="24" s="1"/>
  <c r="G6" i="24"/>
  <c r="P6" i="24" s="1"/>
  <c r="N2" i="24"/>
  <c r="O2" i="24"/>
  <c r="P2" i="24"/>
  <c r="E11" i="23"/>
  <c r="F11" i="23"/>
  <c r="M2" i="23"/>
  <c r="D11" i="23"/>
  <c r="A31" i="23"/>
  <c r="A33" i="23"/>
  <c r="G11" i="23"/>
  <c r="O2" i="23"/>
  <c r="A29" i="23"/>
  <c r="N2" i="23"/>
  <c r="F10" i="22"/>
  <c r="G10" i="22"/>
  <c r="V1" i="22" s="1"/>
  <c r="E10" i="22"/>
  <c r="T1" i="22" s="1"/>
  <c r="A32" i="22"/>
  <c r="Q3" i="22"/>
  <c r="D10" i="22"/>
  <c r="A26" i="22"/>
  <c r="A30" i="22"/>
  <c r="G10" i="21"/>
  <c r="E10" i="21"/>
  <c r="T1" i="21" s="1"/>
  <c r="F10" i="21"/>
  <c r="R1" i="21"/>
  <c r="A30" i="21"/>
  <c r="D10" i="21"/>
  <c r="A28" i="21"/>
  <c r="A32" i="21"/>
  <c r="B21" i="20"/>
  <c r="B33" i="20" s="1"/>
  <c r="A21" i="20"/>
  <c r="A33" i="20" s="1"/>
  <c r="B20" i="20"/>
  <c r="B32" i="20" s="1"/>
  <c r="A20" i="20"/>
  <c r="A32" i="20" s="1"/>
  <c r="B19" i="20"/>
  <c r="B31" i="20" s="1"/>
  <c r="A19" i="20"/>
  <c r="A31" i="20" s="1"/>
  <c r="G6" i="20"/>
  <c r="R6" i="20" s="1"/>
  <c r="F6" i="20"/>
  <c r="Q6" i="20" s="1"/>
  <c r="B17" i="20"/>
  <c r="B29" i="20" s="1"/>
  <c r="D5" i="20"/>
  <c r="O5" i="20" s="1"/>
  <c r="E3" i="20"/>
  <c r="P3" i="20" s="1"/>
  <c r="D3" i="20"/>
  <c r="O3" i="20" s="1"/>
  <c r="B14" i="20"/>
  <c r="B26" i="20" s="1"/>
  <c r="A14" i="20"/>
  <c r="A26" i="20" s="1"/>
  <c r="B13" i="20"/>
  <c r="B25" i="20" s="1"/>
  <c r="D1" i="20"/>
  <c r="O1" i="20" s="1"/>
  <c r="E9" i="20"/>
  <c r="P9" i="20" s="1"/>
  <c r="D9" i="20"/>
  <c r="O9" i="20" s="1"/>
  <c r="E7" i="20"/>
  <c r="P7" i="20" s="1"/>
  <c r="D7" i="20"/>
  <c r="O7" i="20" s="1"/>
  <c r="G4" i="20"/>
  <c r="R4" i="20" s="1"/>
  <c r="F4" i="20"/>
  <c r="Q4" i="20" s="1"/>
  <c r="B44" i="20"/>
  <c r="A44" i="20"/>
  <c r="B43" i="20"/>
  <c r="A43" i="20"/>
  <c r="B42" i="20"/>
  <c r="A42" i="20"/>
  <c r="B41" i="20"/>
  <c r="A41" i="20"/>
  <c r="B40" i="20"/>
  <c r="A40" i="20"/>
  <c r="B39" i="20"/>
  <c r="A39" i="20"/>
  <c r="B38" i="20"/>
  <c r="A38" i="20"/>
  <c r="B37" i="20"/>
  <c r="A37" i="20"/>
  <c r="B36" i="20"/>
  <c r="A36" i="20"/>
  <c r="E8" i="20"/>
  <c r="P8" i="20" s="1"/>
  <c r="D8" i="20"/>
  <c r="O8" i="20" s="1"/>
  <c r="E6" i="20"/>
  <c r="P6" i="20" s="1"/>
  <c r="D6" i="20"/>
  <c r="O6" i="20" s="1"/>
  <c r="G5" i="20"/>
  <c r="R5" i="20" s="1"/>
  <c r="F5" i="20"/>
  <c r="Q5" i="20" s="1"/>
  <c r="G3" i="20"/>
  <c r="R3" i="20" s="1"/>
  <c r="F3" i="20"/>
  <c r="Q3" i="20" s="1"/>
  <c r="G2" i="20"/>
  <c r="R2" i="20" s="1"/>
  <c r="F2" i="20"/>
  <c r="Q2" i="20" s="1"/>
  <c r="G1" i="20"/>
  <c r="F1" i="20"/>
  <c r="B44" i="18"/>
  <c r="A44" i="18"/>
  <c r="B43" i="18"/>
  <c r="A43" i="18"/>
  <c r="B42" i="18"/>
  <c r="A42" i="18"/>
  <c r="B41" i="18"/>
  <c r="A41" i="18"/>
  <c r="B40" i="18"/>
  <c r="A40" i="18"/>
  <c r="B39" i="18"/>
  <c r="A39" i="18"/>
  <c r="B38" i="18"/>
  <c r="A38" i="18"/>
  <c r="B37" i="18"/>
  <c r="A37" i="18"/>
  <c r="B36" i="18"/>
  <c r="A36" i="18"/>
  <c r="B30" i="18"/>
  <c r="A28" i="18"/>
  <c r="B27" i="18"/>
  <c r="B26" i="18"/>
  <c r="B21" i="18"/>
  <c r="B33" i="18" s="1"/>
  <c r="A21" i="18"/>
  <c r="B20" i="18"/>
  <c r="B32" i="18" s="1"/>
  <c r="A20" i="18"/>
  <c r="A32" i="18" s="1"/>
  <c r="B19" i="18"/>
  <c r="B31" i="18" s="1"/>
  <c r="A19" i="18"/>
  <c r="A31" i="18" s="1"/>
  <c r="B18" i="18"/>
  <c r="A18" i="18"/>
  <c r="A30" i="18" s="1"/>
  <c r="B17" i="18"/>
  <c r="B29" i="18" s="1"/>
  <c r="A17" i="18"/>
  <c r="B16" i="18"/>
  <c r="B28" i="18" s="1"/>
  <c r="A16" i="18"/>
  <c r="B15" i="18"/>
  <c r="A15" i="18"/>
  <c r="A27" i="18" s="1"/>
  <c r="B14" i="18"/>
  <c r="A14" i="18"/>
  <c r="A26" i="18" s="1"/>
  <c r="B13" i="18"/>
  <c r="B25" i="18" s="1"/>
  <c r="A13" i="18"/>
  <c r="I9" i="18"/>
  <c r="X9" i="18" s="1"/>
  <c r="H9" i="18"/>
  <c r="W9" i="18" s="1"/>
  <c r="G9" i="18"/>
  <c r="V9" i="18" s="1"/>
  <c r="F9" i="18"/>
  <c r="U9" i="18" s="1"/>
  <c r="E9" i="18"/>
  <c r="T9" i="18" s="1"/>
  <c r="D9" i="18"/>
  <c r="S9" i="18" s="1"/>
  <c r="I8" i="18"/>
  <c r="X8" i="18" s="1"/>
  <c r="H8" i="18"/>
  <c r="W8" i="18" s="1"/>
  <c r="G8" i="18"/>
  <c r="V8" i="18" s="1"/>
  <c r="F8" i="18"/>
  <c r="U8" i="18" s="1"/>
  <c r="E8" i="18"/>
  <c r="T8" i="18" s="1"/>
  <c r="D8" i="18"/>
  <c r="S8" i="18" s="1"/>
  <c r="I7" i="18"/>
  <c r="X7" i="18" s="1"/>
  <c r="H7" i="18"/>
  <c r="W7" i="18" s="1"/>
  <c r="G7" i="18"/>
  <c r="V7" i="18" s="1"/>
  <c r="F7" i="18"/>
  <c r="U7" i="18" s="1"/>
  <c r="E7" i="18"/>
  <c r="T7" i="18" s="1"/>
  <c r="D7" i="18"/>
  <c r="S7" i="18" s="1"/>
  <c r="I6" i="18"/>
  <c r="X6" i="18" s="1"/>
  <c r="H6" i="18"/>
  <c r="W6" i="18" s="1"/>
  <c r="G6" i="18"/>
  <c r="V6" i="18" s="1"/>
  <c r="F6" i="18"/>
  <c r="U6" i="18" s="1"/>
  <c r="E6" i="18"/>
  <c r="T6" i="18" s="1"/>
  <c r="D6" i="18"/>
  <c r="S6" i="18" s="1"/>
  <c r="I5" i="18"/>
  <c r="X5" i="18" s="1"/>
  <c r="H5" i="18"/>
  <c r="W5" i="18" s="1"/>
  <c r="G5" i="18"/>
  <c r="V5" i="18" s="1"/>
  <c r="F5" i="18"/>
  <c r="U5" i="18" s="1"/>
  <c r="E5" i="18"/>
  <c r="T5" i="18" s="1"/>
  <c r="D5" i="18"/>
  <c r="S5" i="18" s="1"/>
  <c r="I4" i="18"/>
  <c r="X4" i="18" s="1"/>
  <c r="H4" i="18"/>
  <c r="W4" i="18" s="1"/>
  <c r="G4" i="18"/>
  <c r="V4" i="18" s="1"/>
  <c r="F4" i="18"/>
  <c r="U4" i="18" s="1"/>
  <c r="E4" i="18"/>
  <c r="T4" i="18" s="1"/>
  <c r="D4" i="18"/>
  <c r="S4" i="18" s="1"/>
  <c r="I3" i="18"/>
  <c r="H3" i="18"/>
  <c r="G3" i="18"/>
  <c r="V3" i="18" s="1"/>
  <c r="F3" i="18"/>
  <c r="U3" i="18" s="1"/>
  <c r="E3" i="18"/>
  <c r="T3" i="18" s="1"/>
  <c r="D3" i="18"/>
  <c r="S3" i="18" s="1"/>
  <c r="X2" i="18"/>
  <c r="W2" i="18"/>
  <c r="I2" i="18"/>
  <c r="H2" i="18"/>
  <c r="G2" i="18"/>
  <c r="V2" i="18" s="1"/>
  <c r="F2" i="18"/>
  <c r="U2" i="18" s="1"/>
  <c r="E2" i="18"/>
  <c r="T2" i="18" s="1"/>
  <c r="D2" i="18"/>
  <c r="S2" i="18" s="1"/>
  <c r="I1" i="18"/>
  <c r="X1" i="18" s="1"/>
  <c r="H1" i="18"/>
  <c r="W1" i="18" s="1"/>
  <c r="G1" i="18"/>
  <c r="F1" i="18"/>
  <c r="E1" i="18"/>
  <c r="T1" i="18" s="1"/>
  <c r="D1" i="18"/>
  <c r="B21" i="17"/>
  <c r="B33" i="17" s="1"/>
  <c r="A21" i="17"/>
  <c r="A33" i="17" s="1"/>
  <c r="G8" i="17"/>
  <c r="V8" i="17" s="1"/>
  <c r="A20" i="17"/>
  <c r="A32" i="17" s="1"/>
  <c r="E7" i="17"/>
  <c r="T7" i="17" s="1"/>
  <c r="D7" i="17"/>
  <c r="S7" i="17" s="1"/>
  <c r="I6" i="17"/>
  <c r="X6" i="17" s="1"/>
  <c r="H6" i="17"/>
  <c r="W6" i="17" s="1"/>
  <c r="B17" i="17"/>
  <c r="B29" i="17" s="1"/>
  <c r="A17" i="17"/>
  <c r="A29" i="17" s="1"/>
  <c r="E4" i="17"/>
  <c r="A16" i="17"/>
  <c r="A28" i="17" s="1"/>
  <c r="B15" i="17"/>
  <c r="B27" i="17" s="1"/>
  <c r="H3" i="17"/>
  <c r="W3" i="17" s="1"/>
  <c r="G2" i="17"/>
  <c r="V2" i="17" s="1"/>
  <c r="F2" i="17"/>
  <c r="U2" i="17" s="1"/>
  <c r="B13" i="17"/>
  <c r="B25" i="17" s="1"/>
  <c r="A13" i="17"/>
  <c r="A25" i="17" s="1"/>
  <c r="A37" i="17"/>
  <c r="B37" i="17"/>
  <c r="A38" i="17"/>
  <c r="B38" i="17"/>
  <c r="A39" i="17"/>
  <c r="B39" i="17"/>
  <c r="A40" i="17"/>
  <c r="B40" i="17"/>
  <c r="A41" i="17"/>
  <c r="B41" i="17"/>
  <c r="A42" i="17"/>
  <c r="B42" i="17"/>
  <c r="A43" i="17"/>
  <c r="B43" i="17"/>
  <c r="A44" i="17"/>
  <c r="B44" i="17"/>
  <c r="B36" i="17"/>
  <c r="A36" i="17"/>
  <c r="A19" i="17"/>
  <c r="G9" i="17"/>
  <c r="V9" i="17" s="1"/>
  <c r="F9" i="17"/>
  <c r="U9" i="17" s="1"/>
  <c r="E9" i="17"/>
  <c r="T9" i="17" s="1"/>
  <c r="D9" i="17"/>
  <c r="S9" i="17" s="1"/>
  <c r="I8" i="17"/>
  <c r="X8" i="17" s="1"/>
  <c r="H8" i="17"/>
  <c r="W8" i="17" s="1"/>
  <c r="E8" i="17"/>
  <c r="T8" i="17" s="1"/>
  <c r="D8" i="17"/>
  <c r="S8" i="17" s="1"/>
  <c r="I7" i="17"/>
  <c r="X7" i="17" s="1"/>
  <c r="H7" i="17"/>
  <c r="W7" i="17" s="1"/>
  <c r="G7" i="17"/>
  <c r="V7" i="17" s="1"/>
  <c r="F7" i="17"/>
  <c r="U7" i="17" s="1"/>
  <c r="G6" i="17"/>
  <c r="V6" i="17" s="1"/>
  <c r="F6" i="17"/>
  <c r="U6" i="17" s="1"/>
  <c r="E6" i="17"/>
  <c r="T6" i="17" s="1"/>
  <c r="D6" i="17"/>
  <c r="S6" i="17" s="1"/>
  <c r="I5" i="17"/>
  <c r="X5" i="17" s="1"/>
  <c r="H5" i="17"/>
  <c r="W5" i="17" s="1"/>
  <c r="E5" i="17"/>
  <c r="T5" i="17" s="1"/>
  <c r="D5" i="17"/>
  <c r="S5" i="17" s="1"/>
  <c r="I4" i="17"/>
  <c r="X4" i="17" s="1"/>
  <c r="H4" i="17"/>
  <c r="W4" i="17" s="1"/>
  <c r="G4" i="17"/>
  <c r="V4" i="17" s="1"/>
  <c r="F4" i="17"/>
  <c r="U4" i="17" s="1"/>
  <c r="G3" i="17"/>
  <c r="V3" i="17" s="1"/>
  <c r="F3" i="17"/>
  <c r="U3" i="17" s="1"/>
  <c r="E3" i="17"/>
  <c r="T3" i="17" s="1"/>
  <c r="D3" i="17"/>
  <c r="S3" i="17" s="1"/>
  <c r="T2" i="17"/>
  <c r="I2" i="17"/>
  <c r="X2" i="17" s="1"/>
  <c r="H2" i="17"/>
  <c r="W2" i="17" s="1"/>
  <c r="E2" i="17"/>
  <c r="D2" i="17"/>
  <c r="S2" i="17" s="1"/>
  <c r="I1" i="17"/>
  <c r="X1" i="17" s="1"/>
  <c r="H1" i="17"/>
  <c r="W1" i="17" s="1"/>
  <c r="G1" i="17"/>
  <c r="V1" i="17" s="1"/>
  <c r="F1" i="17"/>
  <c r="X33" i="16"/>
  <c r="W33" i="16"/>
  <c r="V33" i="16"/>
  <c r="U33" i="16"/>
  <c r="T33" i="16"/>
  <c r="S33" i="16"/>
  <c r="X32" i="16"/>
  <c r="W32" i="16"/>
  <c r="V32" i="16"/>
  <c r="U32" i="16"/>
  <c r="T32" i="16"/>
  <c r="S32" i="16"/>
  <c r="X31" i="16"/>
  <c r="W31" i="16"/>
  <c r="V31" i="16"/>
  <c r="U31" i="16"/>
  <c r="T31" i="16"/>
  <c r="S31" i="16"/>
  <c r="X30" i="16"/>
  <c r="W30" i="16"/>
  <c r="V30" i="16"/>
  <c r="U30" i="16"/>
  <c r="T30" i="16"/>
  <c r="S30" i="16"/>
  <c r="X29" i="16"/>
  <c r="W29" i="16"/>
  <c r="V29" i="16"/>
  <c r="U29" i="16"/>
  <c r="T29" i="16"/>
  <c r="S29" i="16"/>
  <c r="X28" i="16"/>
  <c r="W28" i="16"/>
  <c r="V28" i="16"/>
  <c r="U28" i="16"/>
  <c r="T28" i="16"/>
  <c r="S28" i="16"/>
  <c r="X27" i="16"/>
  <c r="W27" i="16"/>
  <c r="V27" i="16"/>
  <c r="U27" i="16"/>
  <c r="T27" i="16"/>
  <c r="S27" i="16"/>
  <c r="X26" i="16"/>
  <c r="W26" i="16"/>
  <c r="V26" i="16"/>
  <c r="U26" i="16"/>
  <c r="T26" i="16"/>
  <c r="S26" i="16"/>
  <c r="AD25" i="16"/>
  <c r="AC25" i="16"/>
  <c r="AB25" i="16"/>
  <c r="AA25" i="16"/>
  <c r="Z25" i="16"/>
  <c r="Y25" i="16"/>
  <c r="X25" i="16"/>
  <c r="W25" i="16"/>
  <c r="V25" i="16"/>
  <c r="U25" i="16"/>
  <c r="T25" i="16"/>
  <c r="S25" i="16"/>
  <c r="X21" i="16"/>
  <c r="W21" i="16"/>
  <c r="V21" i="16"/>
  <c r="U21" i="16"/>
  <c r="T21" i="16"/>
  <c r="S21" i="16"/>
  <c r="X20" i="16"/>
  <c r="W20" i="16"/>
  <c r="V20" i="16"/>
  <c r="U20" i="16"/>
  <c r="T20" i="16"/>
  <c r="S20" i="16"/>
  <c r="X19" i="16"/>
  <c r="W19" i="16"/>
  <c r="V19" i="16"/>
  <c r="U19" i="16"/>
  <c r="T19" i="16"/>
  <c r="S19" i="16"/>
  <c r="X18" i="16"/>
  <c r="W18" i="16"/>
  <c r="V18" i="16"/>
  <c r="U18" i="16"/>
  <c r="T18" i="16"/>
  <c r="S18" i="16"/>
  <c r="X17" i="16"/>
  <c r="W17" i="16"/>
  <c r="V17" i="16"/>
  <c r="U17" i="16"/>
  <c r="T17" i="16"/>
  <c r="S17" i="16"/>
  <c r="X16" i="16"/>
  <c r="W16" i="16"/>
  <c r="V16" i="16"/>
  <c r="U16" i="16"/>
  <c r="T16" i="16"/>
  <c r="S16" i="16"/>
  <c r="X15" i="16"/>
  <c r="W15" i="16"/>
  <c r="V15" i="16"/>
  <c r="U15" i="16"/>
  <c r="T15" i="16"/>
  <c r="S15" i="16"/>
  <c r="X14" i="16"/>
  <c r="W14" i="16"/>
  <c r="V14" i="16"/>
  <c r="U14" i="16"/>
  <c r="T14" i="16"/>
  <c r="S14" i="16"/>
  <c r="AD13" i="16"/>
  <c r="AC13" i="16"/>
  <c r="AB13" i="16"/>
  <c r="AA13" i="16"/>
  <c r="Z13" i="16"/>
  <c r="Y13" i="16"/>
  <c r="X13" i="16"/>
  <c r="W13" i="16"/>
  <c r="V13" i="16"/>
  <c r="U13" i="16"/>
  <c r="T13" i="16"/>
  <c r="S13" i="16"/>
  <c r="Z1" i="16"/>
  <c r="AA1" i="16"/>
  <c r="AB1" i="16"/>
  <c r="AC1" i="16"/>
  <c r="AD1" i="16"/>
  <c r="Y1" i="16"/>
  <c r="T1" i="16"/>
  <c r="U1" i="16"/>
  <c r="V1" i="16"/>
  <c r="W1" i="16"/>
  <c r="X1" i="16"/>
  <c r="T2" i="16"/>
  <c r="U2" i="16"/>
  <c r="V2" i="16"/>
  <c r="W2" i="16"/>
  <c r="X2" i="16"/>
  <c r="T3" i="16"/>
  <c r="U3" i="16"/>
  <c r="V3" i="16"/>
  <c r="W3" i="16"/>
  <c r="X3" i="16"/>
  <c r="T4" i="16"/>
  <c r="U4" i="16"/>
  <c r="V4" i="16"/>
  <c r="W4" i="16"/>
  <c r="X4" i="16"/>
  <c r="T5" i="16"/>
  <c r="U5" i="16"/>
  <c r="V5" i="16"/>
  <c r="W5" i="16"/>
  <c r="X5" i="16"/>
  <c r="T6" i="16"/>
  <c r="U6" i="16"/>
  <c r="V6" i="16"/>
  <c r="W6" i="16"/>
  <c r="X6" i="16"/>
  <c r="T7" i="16"/>
  <c r="U7" i="16"/>
  <c r="V7" i="16"/>
  <c r="W7" i="16"/>
  <c r="X7" i="16"/>
  <c r="T8" i="16"/>
  <c r="U8" i="16"/>
  <c r="V8" i="16"/>
  <c r="W8" i="16"/>
  <c r="X8" i="16"/>
  <c r="T9" i="16"/>
  <c r="U9" i="16"/>
  <c r="V9" i="16"/>
  <c r="W9" i="16"/>
  <c r="X9" i="16"/>
  <c r="S2" i="16"/>
  <c r="S3" i="16"/>
  <c r="S4" i="16"/>
  <c r="S5" i="16"/>
  <c r="S6" i="16"/>
  <c r="S7" i="16"/>
  <c r="S8" i="16"/>
  <c r="S9" i="16"/>
  <c r="S1" i="16"/>
  <c r="A33" i="16"/>
  <c r="B32" i="16"/>
  <c r="B31" i="16"/>
  <c r="A29" i="16"/>
  <c r="B28" i="16"/>
  <c r="B27" i="16"/>
  <c r="B26" i="16"/>
  <c r="A26" i="16"/>
  <c r="B25" i="16"/>
  <c r="B21" i="16"/>
  <c r="B33" i="16" s="1"/>
  <c r="A21" i="16"/>
  <c r="B20" i="16"/>
  <c r="A20" i="16"/>
  <c r="A32" i="16" s="1"/>
  <c r="B19" i="16"/>
  <c r="A19" i="16"/>
  <c r="A31" i="16" s="1"/>
  <c r="B18" i="16"/>
  <c r="B30" i="16" s="1"/>
  <c r="A18" i="16"/>
  <c r="B17" i="16"/>
  <c r="B29" i="16" s="1"/>
  <c r="A17" i="16"/>
  <c r="B16" i="16"/>
  <c r="A16" i="16"/>
  <c r="A28" i="16" s="1"/>
  <c r="B15" i="16"/>
  <c r="A15" i="16"/>
  <c r="A27" i="16" s="1"/>
  <c r="B14" i="16"/>
  <c r="A14" i="16"/>
  <c r="B13" i="16"/>
  <c r="A13" i="16"/>
  <c r="A25" i="16" s="1"/>
  <c r="I9" i="16"/>
  <c r="H9" i="16"/>
  <c r="G9" i="16"/>
  <c r="F9" i="16"/>
  <c r="E9" i="16"/>
  <c r="D9" i="16"/>
  <c r="I8" i="16"/>
  <c r="H8" i="16"/>
  <c r="G8" i="16"/>
  <c r="F8" i="16"/>
  <c r="E8" i="16"/>
  <c r="D8" i="16"/>
  <c r="I7" i="16"/>
  <c r="H7" i="16"/>
  <c r="G7" i="16"/>
  <c r="F7" i="16"/>
  <c r="E7" i="16"/>
  <c r="D7" i="16"/>
  <c r="I6" i="16"/>
  <c r="H6" i="16"/>
  <c r="G6" i="16"/>
  <c r="F6" i="16"/>
  <c r="E6" i="16"/>
  <c r="D6" i="16"/>
  <c r="I5" i="16"/>
  <c r="H5" i="16"/>
  <c r="G5" i="16"/>
  <c r="F5" i="16"/>
  <c r="E5" i="16"/>
  <c r="D5" i="16"/>
  <c r="I4" i="16"/>
  <c r="H4" i="16"/>
  <c r="H10" i="16" s="1"/>
  <c r="G4" i="16"/>
  <c r="G10" i="16" s="1"/>
  <c r="K2" i="16" s="1"/>
  <c r="F4" i="16"/>
  <c r="E4" i="16"/>
  <c r="D4" i="16"/>
  <c r="I3" i="16"/>
  <c r="I10" i="16" s="1"/>
  <c r="K3" i="16" s="1"/>
  <c r="H3" i="16"/>
  <c r="G3" i="16"/>
  <c r="F3" i="16"/>
  <c r="E3" i="16"/>
  <c r="D3" i="16"/>
  <c r="I2" i="16"/>
  <c r="H2" i="16"/>
  <c r="G2" i="16"/>
  <c r="F2" i="16"/>
  <c r="F10" i="16" s="1"/>
  <c r="E2" i="16"/>
  <c r="D2" i="16"/>
  <c r="I1" i="16"/>
  <c r="H1" i="16"/>
  <c r="G1" i="16"/>
  <c r="F1" i="16"/>
  <c r="E1" i="16"/>
  <c r="E10" i="16" s="1"/>
  <c r="K1" i="16" s="1"/>
  <c r="D1" i="16"/>
  <c r="D10" i="16" s="1"/>
  <c r="A31" i="15"/>
  <c r="B30" i="15"/>
  <c r="A30" i="15"/>
  <c r="B27" i="15"/>
  <c r="A27" i="15"/>
  <c r="A25" i="15"/>
  <c r="B21" i="15"/>
  <c r="B33" i="15" s="1"/>
  <c r="A21" i="15"/>
  <c r="B20" i="15"/>
  <c r="B32" i="15" s="1"/>
  <c r="A20" i="15"/>
  <c r="A32" i="15" s="1"/>
  <c r="B19" i="15"/>
  <c r="B31" i="15" s="1"/>
  <c r="A19" i="15"/>
  <c r="B18" i="15"/>
  <c r="A18" i="15"/>
  <c r="B17" i="15"/>
  <c r="B29" i="15" s="1"/>
  <c r="A17" i="15"/>
  <c r="B16" i="15"/>
  <c r="B28" i="15" s="1"/>
  <c r="A16" i="15"/>
  <c r="A28" i="15" s="1"/>
  <c r="B15" i="15"/>
  <c r="A15" i="15"/>
  <c r="B14" i="15"/>
  <c r="B26" i="15" s="1"/>
  <c r="A14" i="15"/>
  <c r="B13" i="15"/>
  <c r="B25" i="15" s="1"/>
  <c r="A13" i="15"/>
  <c r="I9" i="15"/>
  <c r="H9" i="15"/>
  <c r="G9" i="15"/>
  <c r="F9" i="15"/>
  <c r="E9" i="15"/>
  <c r="D9" i="15"/>
  <c r="I8" i="15"/>
  <c r="H8" i="15"/>
  <c r="G8" i="15"/>
  <c r="F8" i="15"/>
  <c r="E8" i="15"/>
  <c r="D8" i="15"/>
  <c r="I7" i="15"/>
  <c r="H7" i="15"/>
  <c r="G7" i="15"/>
  <c r="F7" i="15"/>
  <c r="E7" i="15"/>
  <c r="D7" i="15"/>
  <c r="I6" i="15"/>
  <c r="H6" i="15"/>
  <c r="G6" i="15"/>
  <c r="F6" i="15"/>
  <c r="E6" i="15"/>
  <c r="D6" i="15"/>
  <c r="I5" i="15"/>
  <c r="H5" i="15"/>
  <c r="G5" i="15"/>
  <c r="F5" i="15"/>
  <c r="E5" i="15"/>
  <c r="D5" i="15"/>
  <c r="I4" i="15"/>
  <c r="H4" i="15"/>
  <c r="G4" i="15"/>
  <c r="F4" i="15"/>
  <c r="E4" i="15"/>
  <c r="D4" i="15"/>
  <c r="I3" i="15"/>
  <c r="H3" i="15"/>
  <c r="G3" i="15"/>
  <c r="F3" i="15"/>
  <c r="E3" i="15"/>
  <c r="E10" i="15" s="1"/>
  <c r="K1" i="15" s="1"/>
  <c r="D3" i="15"/>
  <c r="I2" i="15"/>
  <c r="H2" i="15"/>
  <c r="G2" i="15"/>
  <c r="G10" i="15" s="1"/>
  <c r="K2" i="15" s="1"/>
  <c r="F2" i="15"/>
  <c r="E2" i="15"/>
  <c r="D2" i="15"/>
  <c r="D10" i="15" s="1"/>
  <c r="I1" i="15"/>
  <c r="I10" i="15" s="1"/>
  <c r="K3" i="15" s="1"/>
  <c r="H1" i="15"/>
  <c r="H10" i="15" s="1"/>
  <c r="G1" i="15"/>
  <c r="F1" i="15"/>
  <c r="F10" i="15" s="1"/>
  <c r="E1" i="15"/>
  <c r="D1" i="15"/>
  <c r="B28" i="14"/>
  <c r="A26" i="14"/>
  <c r="A25" i="14"/>
  <c r="B21" i="14"/>
  <c r="B33" i="14" s="1"/>
  <c r="A21" i="14"/>
  <c r="B20" i="14"/>
  <c r="B32" i="14" s="1"/>
  <c r="A20" i="14"/>
  <c r="A32" i="14" s="1"/>
  <c r="B19" i="14"/>
  <c r="B31" i="14" s="1"/>
  <c r="A19" i="14"/>
  <c r="A31" i="14" s="1"/>
  <c r="B18" i="14"/>
  <c r="B30" i="14" s="1"/>
  <c r="A18" i="14"/>
  <c r="B17" i="14"/>
  <c r="B29" i="14" s="1"/>
  <c r="A17" i="14"/>
  <c r="B16" i="14"/>
  <c r="A16" i="14"/>
  <c r="A28" i="14" s="1"/>
  <c r="B15" i="14"/>
  <c r="B27" i="14" s="1"/>
  <c r="A15" i="14"/>
  <c r="A27" i="14" s="1"/>
  <c r="B14" i="14"/>
  <c r="B26" i="14" s="1"/>
  <c r="A14" i="14"/>
  <c r="B13" i="14"/>
  <c r="B25" i="14" s="1"/>
  <c r="A13" i="14"/>
  <c r="I9" i="14"/>
  <c r="H9" i="14"/>
  <c r="G9" i="14"/>
  <c r="F9" i="14"/>
  <c r="E9" i="14"/>
  <c r="D9" i="14"/>
  <c r="I8" i="14"/>
  <c r="H8" i="14"/>
  <c r="G8" i="14"/>
  <c r="F8" i="14"/>
  <c r="E8" i="14"/>
  <c r="D8" i="14"/>
  <c r="I7" i="14"/>
  <c r="H7" i="14"/>
  <c r="G7" i="14"/>
  <c r="F7" i="14"/>
  <c r="E7" i="14"/>
  <c r="D7" i="14"/>
  <c r="I6" i="14"/>
  <c r="H6" i="14"/>
  <c r="G6" i="14"/>
  <c r="F6" i="14"/>
  <c r="E6" i="14"/>
  <c r="D6" i="14"/>
  <c r="I5" i="14"/>
  <c r="H5" i="14"/>
  <c r="G5" i="14"/>
  <c r="F5" i="14"/>
  <c r="E5" i="14"/>
  <c r="D5" i="14"/>
  <c r="I4" i="14"/>
  <c r="H4" i="14"/>
  <c r="G4" i="14"/>
  <c r="F4" i="14"/>
  <c r="E4" i="14"/>
  <c r="D4" i="14"/>
  <c r="I3" i="14"/>
  <c r="H3" i="14"/>
  <c r="G3" i="14"/>
  <c r="F3" i="14"/>
  <c r="E3" i="14"/>
  <c r="D3" i="14"/>
  <c r="I2" i="14"/>
  <c r="H2" i="14"/>
  <c r="G2" i="14"/>
  <c r="F2" i="14"/>
  <c r="E2" i="14"/>
  <c r="D2" i="14"/>
  <c r="I1" i="14"/>
  <c r="H1" i="14"/>
  <c r="G1" i="14"/>
  <c r="F1" i="14"/>
  <c r="E1" i="14"/>
  <c r="D1" i="14"/>
  <c r="B32" i="13"/>
  <c r="B31" i="13"/>
  <c r="A31" i="13"/>
  <c r="B30" i="13"/>
  <c r="B28" i="13"/>
  <c r="B27" i="13"/>
  <c r="A27" i="13"/>
  <c r="B21" i="13"/>
  <c r="B33" i="13" s="1"/>
  <c r="A21" i="13"/>
  <c r="B20" i="13"/>
  <c r="A20" i="13"/>
  <c r="A32" i="13" s="1"/>
  <c r="B19" i="13"/>
  <c r="A19" i="13"/>
  <c r="B18" i="13"/>
  <c r="A18" i="13"/>
  <c r="B17" i="13"/>
  <c r="B29" i="13" s="1"/>
  <c r="A17" i="13"/>
  <c r="B16" i="13"/>
  <c r="A16" i="13"/>
  <c r="A28" i="13" s="1"/>
  <c r="B15" i="13"/>
  <c r="A15" i="13"/>
  <c r="B14" i="13"/>
  <c r="B26" i="13" s="1"/>
  <c r="A14" i="13"/>
  <c r="B13" i="13"/>
  <c r="B25" i="13" s="1"/>
  <c r="A13" i="13"/>
  <c r="A25" i="13" s="1"/>
  <c r="I9" i="13"/>
  <c r="H9" i="13"/>
  <c r="G9" i="13"/>
  <c r="F9" i="13"/>
  <c r="E9" i="13"/>
  <c r="D9" i="13"/>
  <c r="I8" i="13"/>
  <c r="H8" i="13"/>
  <c r="G8" i="13"/>
  <c r="F8" i="13"/>
  <c r="E8" i="13"/>
  <c r="D8" i="13"/>
  <c r="I7" i="13"/>
  <c r="H7" i="13"/>
  <c r="G7" i="13"/>
  <c r="F7" i="13"/>
  <c r="E7" i="13"/>
  <c r="D7" i="13"/>
  <c r="I6" i="13"/>
  <c r="H6" i="13"/>
  <c r="G6" i="13"/>
  <c r="F6" i="13"/>
  <c r="E6" i="13"/>
  <c r="D6" i="13"/>
  <c r="I5" i="13"/>
  <c r="H5" i="13"/>
  <c r="G5" i="13"/>
  <c r="F5" i="13"/>
  <c r="E5" i="13"/>
  <c r="D5" i="13"/>
  <c r="I4" i="13"/>
  <c r="H4" i="13"/>
  <c r="G4" i="13"/>
  <c r="F4" i="13"/>
  <c r="E4" i="13"/>
  <c r="D4" i="13"/>
  <c r="I3" i="13"/>
  <c r="H3" i="13"/>
  <c r="G3" i="13"/>
  <c r="F3" i="13"/>
  <c r="E3" i="13"/>
  <c r="D3" i="13"/>
  <c r="I2" i="13"/>
  <c r="H2" i="13"/>
  <c r="G2" i="13"/>
  <c r="F2" i="13"/>
  <c r="E2" i="13"/>
  <c r="D2" i="13"/>
  <c r="I1" i="13"/>
  <c r="I10" i="13" s="1"/>
  <c r="K3" i="13" s="1"/>
  <c r="H1" i="13"/>
  <c r="H10" i="13" s="1"/>
  <c r="G1" i="13"/>
  <c r="F1" i="13"/>
  <c r="F10" i="13" s="1"/>
  <c r="E1" i="13"/>
  <c r="D1" i="13"/>
  <c r="B31" i="12"/>
  <c r="A31" i="12"/>
  <c r="B30" i="12"/>
  <c r="A30" i="12"/>
  <c r="B27" i="12"/>
  <c r="A27" i="12"/>
  <c r="B25" i="12"/>
  <c r="A25" i="12"/>
  <c r="B21" i="12"/>
  <c r="B33" i="12" s="1"/>
  <c r="A21" i="12"/>
  <c r="A33" i="12" s="1"/>
  <c r="B20" i="12"/>
  <c r="B32" i="12" s="1"/>
  <c r="A20" i="12"/>
  <c r="A32" i="12" s="1"/>
  <c r="B19" i="12"/>
  <c r="A19" i="12"/>
  <c r="B18" i="12"/>
  <c r="A18" i="12"/>
  <c r="B17" i="12"/>
  <c r="B29" i="12" s="1"/>
  <c r="A17" i="12"/>
  <c r="A29" i="12" s="1"/>
  <c r="B16" i="12"/>
  <c r="B28" i="12" s="1"/>
  <c r="A16" i="12"/>
  <c r="A28" i="12" s="1"/>
  <c r="B15" i="12"/>
  <c r="A15" i="12"/>
  <c r="B14" i="12"/>
  <c r="B26" i="12" s="1"/>
  <c r="A14" i="12"/>
  <c r="B13" i="12"/>
  <c r="A13" i="12"/>
  <c r="I9" i="12"/>
  <c r="H9" i="12"/>
  <c r="G9" i="12"/>
  <c r="F9" i="12"/>
  <c r="E9" i="12"/>
  <c r="D9" i="12"/>
  <c r="I8" i="12"/>
  <c r="H8" i="12"/>
  <c r="G8" i="12"/>
  <c r="F8" i="12"/>
  <c r="E8" i="12"/>
  <c r="D8" i="12"/>
  <c r="I7" i="12"/>
  <c r="H7" i="12"/>
  <c r="G7" i="12"/>
  <c r="F7" i="12"/>
  <c r="E7" i="12"/>
  <c r="D7" i="12"/>
  <c r="I6" i="12"/>
  <c r="H6" i="12"/>
  <c r="G6" i="12"/>
  <c r="F6" i="12"/>
  <c r="E6" i="12"/>
  <c r="D6" i="12"/>
  <c r="I5" i="12"/>
  <c r="H5" i="12"/>
  <c r="G5" i="12"/>
  <c r="F5" i="12"/>
  <c r="E5" i="12"/>
  <c r="D5" i="12"/>
  <c r="I4" i="12"/>
  <c r="H4" i="12"/>
  <c r="G4" i="12"/>
  <c r="F4" i="12"/>
  <c r="E4" i="12"/>
  <c r="D4" i="12"/>
  <c r="I3" i="12"/>
  <c r="H3" i="12"/>
  <c r="G3" i="12"/>
  <c r="F3" i="12"/>
  <c r="E3" i="12"/>
  <c r="E10" i="12" s="1"/>
  <c r="K1" i="12" s="1"/>
  <c r="D3" i="12"/>
  <c r="D10" i="12" s="1"/>
  <c r="I2" i="12"/>
  <c r="H2" i="12"/>
  <c r="G2" i="12"/>
  <c r="G10" i="12" s="1"/>
  <c r="K2" i="12" s="1"/>
  <c r="F2" i="12"/>
  <c r="F10" i="12" s="1"/>
  <c r="E2" i="12"/>
  <c r="D2" i="12"/>
  <c r="I1" i="12"/>
  <c r="I10" i="12" s="1"/>
  <c r="K3" i="12" s="1"/>
  <c r="H1" i="12"/>
  <c r="H10" i="12" s="1"/>
  <c r="G1" i="12"/>
  <c r="F1" i="12"/>
  <c r="E1" i="12"/>
  <c r="D1" i="12"/>
  <c r="L26" i="11"/>
  <c r="M26" i="11"/>
  <c r="N26" i="11"/>
  <c r="L27" i="11"/>
  <c r="M27" i="11"/>
  <c r="N27" i="11"/>
  <c r="L28" i="11"/>
  <c r="M28" i="11"/>
  <c r="N28" i="11"/>
  <c r="L29" i="11"/>
  <c r="M29" i="11"/>
  <c r="N29" i="11"/>
  <c r="O29" i="11" s="1"/>
  <c r="P29" i="11" s="1"/>
  <c r="L30" i="11"/>
  <c r="M30" i="11"/>
  <c r="N30" i="11"/>
  <c r="L31" i="11"/>
  <c r="M31" i="11"/>
  <c r="N31" i="11"/>
  <c r="L32" i="11"/>
  <c r="M32" i="11"/>
  <c r="N32" i="11"/>
  <c r="L33" i="11"/>
  <c r="O33" i="11" s="1"/>
  <c r="P33" i="11" s="1"/>
  <c r="M33" i="11"/>
  <c r="N33" i="11"/>
  <c r="L14" i="11"/>
  <c r="M14" i="11"/>
  <c r="N14" i="11"/>
  <c r="L15" i="11"/>
  <c r="M15" i="11"/>
  <c r="N15" i="11"/>
  <c r="L16" i="11"/>
  <c r="M16" i="11"/>
  <c r="N16" i="11"/>
  <c r="L17" i="11"/>
  <c r="M17" i="11"/>
  <c r="N17" i="11"/>
  <c r="L18" i="11"/>
  <c r="M18" i="11"/>
  <c r="N18" i="11"/>
  <c r="L19" i="11"/>
  <c r="M19" i="11"/>
  <c r="N19" i="11"/>
  <c r="L20" i="11"/>
  <c r="M20" i="11"/>
  <c r="N20" i="11"/>
  <c r="L21" i="11"/>
  <c r="M21" i="11"/>
  <c r="N21" i="11"/>
  <c r="N13" i="11"/>
  <c r="B33" i="11"/>
  <c r="A33" i="11"/>
  <c r="B32" i="11"/>
  <c r="A32" i="11"/>
  <c r="B31" i="11"/>
  <c r="A31" i="11"/>
  <c r="B30" i="11"/>
  <c r="A30" i="11"/>
  <c r="B29" i="11"/>
  <c r="A29" i="11"/>
  <c r="B28" i="11"/>
  <c r="A28" i="11"/>
  <c r="B27" i="11"/>
  <c r="A27" i="11"/>
  <c r="B26" i="11"/>
  <c r="A26" i="11"/>
  <c r="B25" i="11"/>
  <c r="A25" i="11"/>
  <c r="B21" i="11"/>
  <c r="A21" i="11"/>
  <c r="B20" i="11"/>
  <c r="A20" i="11"/>
  <c r="B19" i="11"/>
  <c r="A19" i="11"/>
  <c r="B18" i="11"/>
  <c r="A18" i="11"/>
  <c r="B17" i="11"/>
  <c r="A17" i="11"/>
  <c r="B16" i="11"/>
  <c r="A16" i="11"/>
  <c r="B15" i="11"/>
  <c r="A15" i="11"/>
  <c r="B14" i="11"/>
  <c r="A14" i="11"/>
  <c r="B13" i="11"/>
  <c r="A13" i="11"/>
  <c r="I9" i="11"/>
  <c r="H9" i="11"/>
  <c r="G9" i="11"/>
  <c r="F9" i="11"/>
  <c r="E9" i="11"/>
  <c r="D9" i="11"/>
  <c r="I8" i="11"/>
  <c r="H8" i="11"/>
  <c r="G8" i="11"/>
  <c r="F8" i="11"/>
  <c r="E8" i="11"/>
  <c r="D8" i="11"/>
  <c r="I7" i="11"/>
  <c r="H7" i="11"/>
  <c r="G7" i="11"/>
  <c r="F7" i="11"/>
  <c r="E7" i="11"/>
  <c r="D7" i="11"/>
  <c r="I6" i="11"/>
  <c r="H6" i="11"/>
  <c r="G6" i="11"/>
  <c r="F6" i="11"/>
  <c r="E6" i="11"/>
  <c r="D6" i="11"/>
  <c r="I5" i="11"/>
  <c r="H5" i="11"/>
  <c r="G5" i="11"/>
  <c r="F5" i="11"/>
  <c r="E5" i="11"/>
  <c r="D5" i="11"/>
  <c r="I4" i="11"/>
  <c r="H4" i="11"/>
  <c r="G4" i="11"/>
  <c r="F4" i="11"/>
  <c r="E4" i="11"/>
  <c r="D4" i="11"/>
  <c r="I3" i="11"/>
  <c r="H3" i="11"/>
  <c r="G3" i="11"/>
  <c r="F3" i="11"/>
  <c r="E3" i="11"/>
  <c r="D3" i="11"/>
  <c r="I2" i="11"/>
  <c r="H2" i="11"/>
  <c r="G2" i="11"/>
  <c r="F2" i="11"/>
  <c r="E2" i="11"/>
  <c r="D2" i="11"/>
  <c r="I1" i="11"/>
  <c r="I10" i="11" s="1"/>
  <c r="K3" i="11" s="1"/>
  <c r="H1" i="11"/>
  <c r="H10" i="11" s="1"/>
  <c r="G1" i="11"/>
  <c r="G10" i="11" s="1"/>
  <c r="K2" i="11" s="1"/>
  <c r="F1" i="11"/>
  <c r="F10" i="11" s="1"/>
  <c r="E1" i="11"/>
  <c r="E10" i="11" s="1"/>
  <c r="K1" i="11" s="1"/>
  <c r="D1" i="11"/>
  <c r="D10" i="11" s="1"/>
  <c r="L14" i="10"/>
  <c r="M14" i="10"/>
  <c r="N14" i="10"/>
  <c r="O14" i="10" s="1"/>
  <c r="P14" i="10" s="1"/>
  <c r="Q14" i="10" s="1"/>
  <c r="L15" i="10"/>
  <c r="M15" i="10"/>
  <c r="N15" i="10"/>
  <c r="L16" i="10"/>
  <c r="M16" i="10"/>
  <c r="O16" i="10" s="1"/>
  <c r="P16" i="10" s="1"/>
  <c r="Q16" i="10" s="1"/>
  <c r="N16" i="10"/>
  <c r="L17" i="10"/>
  <c r="O17" i="10" s="1"/>
  <c r="P17" i="10" s="1"/>
  <c r="Q17" i="10" s="1"/>
  <c r="M17" i="10"/>
  <c r="N17" i="10"/>
  <c r="L18" i="10"/>
  <c r="M18" i="10"/>
  <c r="N18" i="10"/>
  <c r="O18" i="10" s="1"/>
  <c r="P18" i="10" s="1"/>
  <c r="Q18" i="10" s="1"/>
  <c r="L19" i="10"/>
  <c r="M19" i="10"/>
  <c r="N19" i="10"/>
  <c r="L20" i="10"/>
  <c r="M20" i="10"/>
  <c r="O20" i="10" s="1"/>
  <c r="P20" i="10" s="1"/>
  <c r="Q20" i="10" s="1"/>
  <c r="N20" i="10"/>
  <c r="L21" i="10"/>
  <c r="O21" i="10" s="1"/>
  <c r="P21" i="10" s="1"/>
  <c r="Q21" i="10" s="1"/>
  <c r="M21" i="10"/>
  <c r="N21" i="10"/>
  <c r="N13" i="10"/>
  <c r="O13" i="10" s="1"/>
  <c r="P13" i="10" s="1"/>
  <c r="Q13" i="10" s="1"/>
  <c r="M13" i="10"/>
  <c r="L13" i="10"/>
  <c r="O15" i="10"/>
  <c r="P15" i="10" s="1"/>
  <c r="Q15" i="10" s="1"/>
  <c r="O19" i="10"/>
  <c r="P19" i="10"/>
  <c r="Q19" i="10" s="1"/>
  <c r="I22" i="10"/>
  <c r="H22" i="10"/>
  <c r="J15" i="10" s="1"/>
  <c r="D14" i="10"/>
  <c r="E14" i="10"/>
  <c r="F14" i="10"/>
  <c r="G14" i="10"/>
  <c r="H14" i="10"/>
  <c r="I14" i="10"/>
  <c r="D15" i="10"/>
  <c r="E15" i="10"/>
  <c r="F15" i="10"/>
  <c r="G15" i="10"/>
  <c r="H15" i="10"/>
  <c r="I15" i="10"/>
  <c r="D16" i="10"/>
  <c r="E16" i="10"/>
  <c r="F16" i="10"/>
  <c r="G16" i="10"/>
  <c r="H16" i="10"/>
  <c r="I16" i="10"/>
  <c r="D17" i="10"/>
  <c r="E17" i="10"/>
  <c r="F17" i="10"/>
  <c r="G17" i="10"/>
  <c r="H17" i="10"/>
  <c r="I17" i="10"/>
  <c r="D18" i="10"/>
  <c r="E18" i="10"/>
  <c r="F18" i="10"/>
  <c r="G18" i="10"/>
  <c r="H18" i="10"/>
  <c r="I18" i="10"/>
  <c r="D19" i="10"/>
  <c r="E19" i="10"/>
  <c r="F19" i="10"/>
  <c r="G19" i="10"/>
  <c r="H19" i="10"/>
  <c r="I19" i="10"/>
  <c r="D20" i="10"/>
  <c r="E20" i="10"/>
  <c r="F20" i="10"/>
  <c r="G20" i="10"/>
  <c r="H20" i="10"/>
  <c r="I20" i="10"/>
  <c r="D21" i="10"/>
  <c r="E21" i="10"/>
  <c r="F21" i="10"/>
  <c r="G21" i="10"/>
  <c r="H21" i="10"/>
  <c r="I21" i="10"/>
  <c r="A14" i="10"/>
  <c r="B14" i="10"/>
  <c r="C14" i="10"/>
  <c r="A15" i="10"/>
  <c r="B15" i="10"/>
  <c r="C15" i="10"/>
  <c r="A16" i="10"/>
  <c r="B16" i="10"/>
  <c r="C16" i="10"/>
  <c r="A17" i="10"/>
  <c r="B17" i="10"/>
  <c r="C17" i="10"/>
  <c r="A18" i="10"/>
  <c r="B18" i="10"/>
  <c r="C18" i="10"/>
  <c r="A19" i="10"/>
  <c r="B19" i="10"/>
  <c r="C19" i="10"/>
  <c r="A20" i="10"/>
  <c r="B20" i="10"/>
  <c r="C20" i="10"/>
  <c r="A21" i="10"/>
  <c r="B21" i="10"/>
  <c r="C21" i="10"/>
  <c r="D13" i="10"/>
  <c r="E13" i="10"/>
  <c r="F13" i="10"/>
  <c r="G13" i="10"/>
  <c r="H13" i="10"/>
  <c r="I13" i="10"/>
  <c r="K15" i="10"/>
  <c r="L2" i="10"/>
  <c r="O2" i="10" s="1"/>
  <c r="P2" i="10" s="1"/>
  <c r="Q2" i="10" s="1"/>
  <c r="M2" i="10"/>
  <c r="N2" i="10"/>
  <c r="L3" i="10"/>
  <c r="O3" i="10" s="1"/>
  <c r="P3" i="10" s="1"/>
  <c r="Q3" i="10" s="1"/>
  <c r="M3" i="10"/>
  <c r="N3" i="10"/>
  <c r="L4" i="10"/>
  <c r="O4" i="10" s="1"/>
  <c r="P4" i="10" s="1"/>
  <c r="Q4" i="10" s="1"/>
  <c r="M4" i="10"/>
  <c r="N4" i="10"/>
  <c r="L5" i="10"/>
  <c r="O5" i="10" s="1"/>
  <c r="P5" i="10" s="1"/>
  <c r="Q5" i="10" s="1"/>
  <c r="M5" i="10"/>
  <c r="N5" i="10"/>
  <c r="L6" i="10"/>
  <c r="O6" i="10" s="1"/>
  <c r="P6" i="10" s="1"/>
  <c r="Q6" i="10" s="1"/>
  <c r="M6" i="10"/>
  <c r="N6" i="10"/>
  <c r="L7" i="10"/>
  <c r="O7" i="10" s="1"/>
  <c r="P7" i="10" s="1"/>
  <c r="Q7" i="10" s="1"/>
  <c r="M7" i="10"/>
  <c r="N7" i="10"/>
  <c r="L8" i="10"/>
  <c r="O8" i="10" s="1"/>
  <c r="P8" i="10" s="1"/>
  <c r="Q8" i="10" s="1"/>
  <c r="M8" i="10"/>
  <c r="N8" i="10"/>
  <c r="L9" i="10"/>
  <c r="O9" i="10" s="1"/>
  <c r="P9" i="10" s="1"/>
  <c r="Q9" i="10" s="1"/>
  <c r="M9" i="10"/>
  <c r="N9" i="10"/>
  <c r="D2" i="10"/>
  <c r="E2" i="10"/>
  <c r="F2" i="10"/>
  <c r="G2" i="10"/>
  <c r="H2" i="10"/>
  <c r="I2" i="10"/>
  <c r="D3" i="10"/>
  <c r="E3" i="10"/>
  <c r="F3" i="10"/>
  <c r="G3" i="10"/>
  <c r="H3" i="10"/>
  <c r="I3" i="10"/>
  <c r="D4" i="10"/>
  <c r="E4" i="10"/>
  <c r="F4" i="10"/>
  <c r="G4" i="10"/>
  <c r="H4" i="10"/>
  <c r="I4" i="10"/>
  <c r="D5" i="10"/>
  <c r="E5" i="10"/>
  <c r="F5" i="10"/>
  <c r="G5" i="10"/>
  <c r="H5" i="10"/>
  <c r="I5" i="10"/>
  <c r="D6" i="10"/>
  <c r="E6" i="10"/>
  <c r="F6" i="10"/>
  <c r="G6" i="10"/>
  <c r="H6" i="10"/>
  <c r="I6" i="10"/>
  <c r="D7" i="10"/>
  <c r="E7" i="10"/>
  <c r="F7" i="10"/>
  <c r="G7" i="10"/>
  <c r="H7" i="10"/>
  <c r="I7" i="10"/>
  <c r="D8" i="10"/>
  <c r="E8" i="10"/>
  <c r="F8" i="10"/>
  <c r="G8" i="10"/>
  <c r="H8" i="10"/>
  <c r="I8" i="10"/>
  <c r="D9" i="10"/>
  <c r="E9" i="10"/>
  <c r="F9" i="10"/>
  <c r="G9" i="10"/>
  <c r="H9" i="10"/>
  <c r="I9" i="10"/>
  <c r="B13" i="10"/>
  <c r="A13" i="10"/>
  <c r="I1" i="10"/>
  <c r="H1" i="10"/>
  <c r="G1" i="10"/>
  <c r="F1" i="10"/>
  <c r="E1" i="10"/>
  <c r="D1" i="10"/>
  <c r="K13" i="8"/>
  <c r="J13" i="8"/>
  <c r="K12" i="8"/>
  <c r="J12" i="8"/>
  <c r="K11" i="8"/>
  <c r="J11" i="8"/>
  <c r="K1" i="8"/>
  <c r="K2" i="8"/>
  <c r="K3" i="8"/>
  <c r="J3" i="8"/>
  <c r="J2" i="8"/>
  <c r="J1" i="8"/>
  <c r="B17" i="9"/>
  <c r="A17" i="9"/>
  <c r="K17" i="9" s="1"/>
  <c r="B16" i="9"/>
  <c r="A16" i="9"/>
  <c r="K16" i="9" s="1"/>
  <c r="B15" i="9"/>
  <c r="A15" i="9"/>
  <c r="B14" i="9"/>
  <c r="A14" i="9"/>
  <c r="B13" i="9"/>
  <c r="A13" i="9"/>
  <c r="B12" i="9"/>
  <c r="A12" i="9"/>
  <c r="B11" i="9"/>
  <c r="A11" i="9"/>
  <c r="G7" i="9"/>
  <c r="F7" i="9"/>
  <c r="E7" i="9"/>
  <c r="D7" i="9"/>
  <c r="G6" i="9"/>
  <c r="F6" i="9"/>
  <c r="E6" i="9"/>
  <c r="D6" i="9"/>
  <c r="G5" i="9"/>
  <c r="F5" i="9"/>
  <c r="E5" i="9"/>
  <c r="D5" i="9"/>
  <c r="G4" i="9"/>
  <c r="F4" i="9"/>
  <c r="G3" i="9"/>
  <c r="F3" i="9"/>
  <c r="E3" i="9"/>
  <c r="D3" i="9"/>
  <c r="G2" i="9"/>
  <c r="G8" i="9" s="1"/>
  <c r="I2" i="9" s="1"/>
  <c r="F2" i="9"/>
  <c r="F8" i="9" s="1"/>
  <c r="H2" i="9" s="1"/>
  <c r="E2" i="9"/>
  <c r="D2" i="9"/>
  <c r="G1" i="9"/>
  <c r="F1" i="9"/>
  <c r="E1" i="9"/>
  <c r="E8" i="9" s="1"/>
  <c r="I1" i="9" s="1"/>
  <c r="D1" i="9"/>
  <c r="D8" i="9" s="1"/>
  <c r="H1" i="9" s="1"/>
  <c r="H2" i="8"/>
  <c r="I2" i="8"/>
  <c r="H3" i="8"/>
  <c r="I3" i="8"/>
  <c r="H4" i="8"/>
  <c r="I4" i="8"/>
  <c r="H5" i="8"/>
  <c r="I5" i="8"/>
  <c r="H6" i="8"/>
  <c r="I6" i="8"/>
  <c r="H7" i="8"/>
  <c r="I7" i="8"/>
  <c r="I1" i="8"/>
  <c r="H1" i="8"/>
  <c r="B17" i="8"/>
  <c r="A17" i="8"/>
  <c r="B16" i="8"/>
  <c r="A16" i="8"/>
  <c r="B15" i="8"/>
  <c r="A15" i="8"/>
  <c r="B14" i="8"/>
  <c r="A14" i="8"/>
  <c r="B13" i="8"/>
  <c r="A13" i="8"/>
  <c r="B12" i="8"/>
  <c r="A12" i="8"/>
  <c r="B11" i="8"/>
  <c r="A11" i="8"/>
  <c r="G7" i="8"/>
  <c r="F7" i="8"/>
  <c r="E7" i="8"/>
  <c r="D7" i="8"/>
  <c r="G6" i="8"/>
  <c r="F6" i="8"/>
  <c r="E6" i="8"/>
  <c r="D6" i="8"/>
  <c r="G5" i="8"/>
  <c r="F5" i="8"/>
  <c r="E5" i="8"/>
  <c r="D5" i="8"/>
  <c r="G4" i="8"/>
  <c r="F4" i="8"/>
  <c r="G3" i="8"/>
  <c r="F3" i="8"/>
  <c r="E3" i="8"/>
  <c r="D3" i="8"/>
  <c r="G2" i="8"/>
  <c r="F2" i="8"/>
  <c r="E2" i="8"/>
  <c r="D2" i="8"/>
  <c r="G1" i="8"/>
  <c r="F1" i="8"/>
  <c r="E1" i="8"/>
  <c r="D1" i="8"/>
  <c r="A12" i="7"/>
  <c r="B12" i="7"/>
  <c r="A13" i="7"/>
  <c r="B13" i="7"/>
  <c r="A14" i="7"/>
  <c r="B14" i="7"/>
  <c r="A15" i="7"/>
  <c r="B15" i="7"/>
  <c r="A16" i="7"/>
  <c r="B16" i="7"/>
  <c r="A17" i="7"/>
  <c r="B17" i="7"/>
  <c r="F2" i="7"/>
  <c r="G2" i="7"/>
  <c r="F3" i="7"/>
  <c r="G3" i="7"/>
  <c r="F4" i="7"/>
  <c r="G4" i="7"/>
  <c r="F5" i="7"/>
  <c r="G5" i="7"/>
  <c r="F6" i="7"/>
  <c r="G6" i="7"/>
  <c r="F7" i="7"/>
  <c r="G7" i="7"/>
  <c r="D2" i="7"/>
  <c r="E2" i="7"/>
  <c r="D3" i="7"/>
  <c r="E3" i="7"/>
  <c r="D5" i="7"/>
  <c r="E5" i="7"/>
  <c r="D6" i="7"/>
  <c r="E6" i="7"/>
  <c r="D7" i="7"/>
  <c r="E7" i="7"/>
  <c r="B11" i="7"/>
  <c r="A11" i="7"/>
  <c r="G1" i="7"/>
  <c r="F1" i="7"/>
  <c r="E1" i="7"/>
  <c r="D1" i="7"/>
  <c r="A10" i="6"/>
  <c r="B10" i="6"/>
  <c r="A11" i="6"/>
  <c r="B11" i="6"/>
  <c r="A12" i="6"/>
  <c r="B12" i="6"/>
  <c r="A13" i="6"/>
  <c r="B13" i="6"/>
  <c r="B9" i="6"/>
  <c r="A9" i="6"/>
  <c r="G5" i="6"/>
  <c r="F5" i="6"/>
  <c r="E5" i="6"/>
  <c r="D5" i="6"/>
  <c r="G4" i="6"/>
  <c r="F4" i="6"/>
  <c r="E4" i="6"/>
  <c r="D4" i="6"/>
  <c r="G3" i="6"/>
  <c r="F3" i="6"/>
  <c r="E3" i="6"/>
  <c r="D3" i="6"/>
  <c r="G2" i="6"/>
  <c r="F2" i="6"/>
  <c r="E2" i="6"/>
  <c r="D2" i="6"/>
  <c r="G1" i="6"/>
  <c r="F1" i="6"/>
  <c r="E1" i="6"/>
  <c r="D1" i="6"/>
  <c r="L2" i="5"/>
  <c r="L3" i="5"/>
  <c r="L4" i="5"/>
  <c r="L5" i="5"/>
  <c r="L2" i="3"/>
  <c r="L3" i="3"/>
  <c r="L4" i="3"/>
  <c r="L5" i="3"/>
  <c r="K2" i="3"/>
  <c r="K3" i="3"/>
  <c r="K4" i="3"/>
  <c r="K5" i="3"/>
  <c r="L1" i="3"/>
  <c r="I2" i="3"/>
  <c r="H2" i="3"/>
  <c r="F6" i="3"/>
  <c r="G6" i="3"/>
  <c r="F2" i="3"/>
  <c r="G2" i="3"/>
  <c r="F3" i="3"/>
  <c r="G3" i="3"/>
  <c r="F4" i="3"/>
  <c r="G4" i="3"/>
  <c r="F5" i="3"/>
  <c r="G5" i="3"/>
  <c r="G1" i="3"/>
  <c r="F1" i="3"/>
  <c r="I1" i="3"/>
  <c r="E6" i="3"/>
  <c r="D2" i="3"/>
  <c r="E2" i="3"/>
  <c r="D3" i="3"/>
  <c r="E3" i="3"/>
  <c r="D4" i="3"/>
  <c r="E4" i="3"/>
  <c r="D5" i="3"/>
  <c r="E5" i="3"/>
  <c r="E1" i="3"/>
  <c r="D1" i="3"/>
  <c r="E6" i="4"/>
  <c r="G6" i="4" s="1"/>
  <c r="F6" i="4"/>
  <c r="D2" i="4"/>
  <c r="C2" i="4"/>
  <c r="D1" i="4"/>
  <c r="C1" i="4"/>
  <c r="D2" i="2"/>
  <c r="D1" i="2"/>
  <c r="C2" i="2"/>
  <c r="C1" i="2"/>
  <c r="G11" i="24" l="1"/>
  <c r="F11" i="24"/>
  <c r="E11" i="24"/>
  <c r="D11" i="24"/>
  <c r="I2" i="23"/>
  <c r="I9" i="23"/>
  <c r="I5" i="23"/>
  <c r="I3" i="23"/>
  <c r="I6" i="23"/>
  <c r="I4" i="23"/>
  <c r="I8" i="23"/>
  <c r="H6" i="23"/>
  <c r="H10" i="23"/>
  <c r="J10" i="23" s="1"/>
  <c r="H7" i="23"/>
  <c r="H8" i="23"/>
  <c r="H3" i="23"/>
  <c r="H2" i="23"/>
  <c r="H5" i="23"/>
  <c r="H9" i="23"/>
  <c r="J9" i="23" s="1"/>
  <c r="H4" i="23"/>
  <c r="I7" i="23"/>
  <c r="I10" i="23"/>
  <c r="K5" i="22"/>
  <c r="K6" i="22"/>
  <c r="H2" i="22"/>
  <c r="K7" i="22"/>
  <c r="U1" i="22"/>
  <c r="K2" i="22"/>
  <c r="I2" i="22"/>
  <c r="K4" i="22"/>
  <c r="I1" i="22"/>
  <c r="K8" i="22"/>
  <c r="K1" i="22"/>
  <c r="K9" i="22"/>
  <c r="K3" i="22"/>
  <c r="S1" i="22"/>
  <c r="J9" i="22"/>
  <c r="J7" i="22"/>
  <c r="J6" i="22"/>
  <c r="J4" i="22"/>
  <c r="J2" i="22"/>
  <c r="J8" i="22"/>
  <c r="J3" i="22"/>
  <c r="H1" i="22"/>
  <c r="J5" i="22"/>
  <c r="J1" i="22"/>
  <c r="I1" i="21"/>
  <c r="K3" i="21"/>
  <c r="K2" i="21"/>
  <c r="K4" i="21"/>
  <c r="K5" i="21"/>
  <c r="K7" i="21"/>
  <c r="K6" i="21"/>
  <c r="K8" i="21"/>
  <c r="K9" i="21"/>
  <c r="U1" i="21"/>
  <c r="K1" i="21"/>
  <c r="H2" i="21"/>
  <c r="I2" i="21"/>
  <c r="V1" i="21"/>
  <c r="S1" i="21"/>
  <c r="J3" i="21"/>
  <c r="J1" i="21"/>
  <c r="J8" i="21"/>
  <c r="J7" i="21"/>
  <c r="J4" i="21"/>
  <c r="H1" i="21"/>
  <c r="J9" i="21"/>
  <c r="J6" i="21"/>
  <c r="J5" i="21"/>
  <c r="J2" i="21"/>
  <c r="F7" i="20"/>
  <c r="Q7" i="20" s="1"/>
  <c r="A18" i="20"/>
  <c r="A30" i="20" s="1"/>
  <c r="B18" i="20"/>
  <c r="B30" i="20" s="1"/>
  <c r="F8" i="20"/>
  <c r="Q8" i="20" s="1"/>
  <c r="G8" i="20"/>
  <c r="R8" i="20" s="1"/>
  <c r="E5" i="20"/>
  <c r="P5" i="20" s="1"/>
  <c r="G9" i="20"/>
  <c r="R9" i="20" s="1"/>
  <c r="D4" i="20"/>
  <c r="O4" i="20" s="1"/>
  <c r="A17" i="20"/>
  <c r="A29" i="20" s="1"/>
  <c r="G7" i="20"/>
  <c r="R7" i="20" s="1"/>
  <c r="F9" i="20"/>
  <c r="Q9" i="20" s="1"/>
  <c r="E1" i="20"/>
  <c r="P1" i="20" s="1"/>
  <c r="E4" i="20"/>
  <c r="P4" i="20" s="1"/>
  <c r="D2" i="20"/>
  <c r="O2" i="20" s="1"/>
  <c r="B15" i="20"/>
  <c r="B27" i="20" s="1"/>
  <c r="E2" i="20"/>
  <c r="P2" i="20" s="1"/>
  <c r="A13" i="20"/>
  <c r="A25" i="20" s="1"/>
  <c r="A15" i="20"/>
  <c r="A27" i="20" s="1"/>
  <c r="A16" i="20"/>
  <c r="A28" i="20" s="1"/>
  <c r="B16" i="20"/>
  <c r="B28" i="20" s="1"/>
  <c r="Q1" i="20"/>
  <c r="R1" i="20"/>
  <c r="H10" i="18"/>
  <c r="I10" i="18"/>
  <c r="N7" i="18" s="1"/>
  <c r="D10" i="18"/>
  <c r="Y1" i="18" s="1"/>
  <c r="E10" i="18"/>
  <c r="L1" i="18" s="1"/>
  <c r="F10" i="18"/>
  <c r="AA1" i="18" s="1"/>
  <c r="G10" i="18"/>
  <c r="AB1" i="18" s="1"/>
  <c r="S1" i="18"/>
  <c r="AC1" i="18"/>
  <c r="J3" i="18"/>
  <c r="U1" i="18"/>
  <c r="W3" i="18"/>
  <c r="V1" i="18"/>
  <c r="X3" i="18"/>
  <c r="A25" i="18"/>
  <c r="A29" i="18"/>
  <c r="A33" i="18"/>
  <c r="G5" i="17"/>
  <c r="V5" i="17" s="1"/>
  <c r="A18" i="17"/>
  <c r="A30" i="17" s="1"/>
  <c r="D1" i="17"/>
  <c r="S1" i="17" s="1"/>
  <c r="I9" i="17"/>
  <c r="X9" i="17" s="1"/>
  <c r="I3" i="17"/>
  <c r="X3" i="17" s="1"/>
  <c r="B18" i="17"/>
  <c r="B30" i="17" s="1"/>
  <c r="D4" i="17"/>
  <c r="S4" i="17" s="1"/>
  <c r="H9" i="17"/>
  <c r="W9" i="17" s="1"/>
  <c r="E1" i="17"/>
  <c r="T1" i="17" s="1"/>
  <c r="A14" i="17"/>
  <c r="A26" i="17" s="1"/>
  <c r="F8" i="17"/>
  <c r="U8" i="17" s="1"/>
  <c r="B19" i="17"/>
  <c r="B31" i="17" s="1"/>
  <c r="A15" i="17"/>
  <c r="A27" i="17" s="1"/>
  <c r="B20" i="17"/>
  <c r="B32" i="17" s="1"/>
  <c r="B16" i="17"/>
  <c r="B28" i="17" s="1"/>
  <c r="B14" i="17"/>
  <c r="B26" i="17" s="1"/>
  <c r="F5" i="17"/>
  <c r="U5" i="17" s="1"/>
  <c r="A31" i="17"/>
  <c r="U1" i="17"/>
  <c r="T4" i="17"/>
  <c r="J2" i="16"/>
  <c r="M1" i="16"/>
  <c r="M9" i="16"/>
  <c r="M8" i="16"/>
  <c r="M7" i="16"/>
  <c r="M6" i="16"/>
  <c r="M5" i="16"/>
  <c r="M4" i="16"/>
  <c r="M3" i="16"/>
  <c r="M2" i="16"/>
  <c r="J3" i="16"/>
  <c r="N9" i="16"/>
  <c r="N8" i="16"/>
  <c r="N7" i="16"/>
  <c r="N6" i="16"/>
  <c r="N5" i="16"/>
  <c r="N4" i="16"/>
  <c r="N3" i="16"/>
  <c r="N2" i="16"/>
  <c r="N1" i="16"/>
  <c r="L1" i="16"/>
  <c r="O1" i="16" s="1"/>
  <c r="P1" i="16" s="1"/>
  <c r="J1" i="16"/>
  <c r="L9" i="16"/>
  <c r="O9" i="16" s="1"/>
  <c r="P9" i="16" s="1"/>
  <c r="L8" i="16"/>
  <c r="L7" i="16"/>
  <c r="L6" i="16"/>
  <c r="L5" i="16"/>
  <c r="L4" i="16"/>
  <c r="L3" i="16"/>
  <c r="O3" i="16" s="1"/>
  <c r="P3" i="16" s="1"/>
  <c r="L2" i="16"/>
  <c r="O2" i="16" s="1"/>
  <c r="P2" i="16" s="1"/>
  <c r="A30" i="16"/>
  <c r="J2" i="15"/>
  <c r="M9" i="15"/>
  <c r="M8" i="15"/>
  <c r="M7" i="15"/>
  <c r="M6" i="15"/>
  <c r="M5" i="15"/>
  <c r="M4" i="15"/>
  <c r="M3" i="15"/>
  <c r="M1" i="15"/>
  <c r="M2" i="15"/>
  <c r="N9" i="15"/>
  <c r="N8" i="15"/>
  <c r="N7" i="15"/>
  <c r="N6" i="15"/>
  <c r="N4" i="15"/>
  <c r="N3" i="15"/>
  <c r="N5" i="15"/>
  <c r="J3" i="15"/>
  <c r="N2" i="15"/>
  <c r="N1" i="15"/>
  <c r="L1" i="15"/>
  <c r="J1" i="15"/>
  <c r="L9" i="15"/>
  <c r="L8" i="15"/>
  <c r="L7" i="15"/>
  <c r="L6" i="15"/>
  <c r="O6" i="15" s="1"/>
  <c r="P6" i="15" s="1"/>
  <c r="L5" i="15"/>
  <c r="O5" i="15" s="1"/>
  <c r="P5" i="15" s="1"/>
  <c r="L4" i="15"/>
  <c r="L3" i="15"/>
  <c r="L2" i="15"/>
  <c r="O2" i="15" s="1"/>
  <c r="P2" i="15" s="1"/>
  <c r="A26" i="15"/>
  <c r="A29" i="15"/>
  <c r="A33" i="15"/>
  <c r="D10" i="14"/>
  <c r="J1" i="14" s="1"/>
  <c r="F10" i="14"/>
  <c r="J2" i="14" s="1"/>
  <c r="I10" i="14"/>
  <c r="K3" i="14" s="1"/>
  <c r="H10" i="14"/>
  <c r="G10" i="14"/>
  <c r="K2" i="14" s="1"/>
  <c r="E10" i="14"/>
  <c r="K1" i="14" s="1"/>
  <c r="A29" i="14"/>
  <c r="A33" i="14"/>
  <c r="A30" i="14"/>
  <c r="G10" i="13"/>
  <c r="K2" i="13" s="1"/>
  <c r="E10" i="13"/>
  <c r="K1" i="13" s="1"/>
  <c r="D10" i="13"/>
  <c r="L5" i="13" s="1"/>
  <c r="N9" i="13"/>
  <c r="N8" i="13"/>
  <c r="N7" i="13"/>
  <c r="N6" i="13"/>
  <c r="N5" i="13"/>
  <c r="N4" i="13"/>
  <c r="N3" i="13"/>
  <c r="J3" i="13"/>
  <c r="N2" i="13"/>
  <c r="N1" i="13"/>
  <c r="L6" i="13"/>
  <c r="J2" i="13"/>
  <c r="M9" i="13"/>
  <c r="M8" i="13"/>
  <c r="M2" i="13"/>
  <c r="A26" i="13"/>
  <c r="A29" i="13"/>
  <c r="A33" i="13"/>
  <c r="A30" i="13"/>
  <c r="J2" i="12"/>
  <c r="M9" i="12"/>
  <c r="M8" i="12"/>
  <c r="M7" i="12"/>
  <c r="M6" i="12"/>
  <c r="M5" i="12"/>
  <c r="M4" i="12"/>
  <c r="M3" i="12"/>
  <c r="M2" i="12"/>
  <c r="M1" i="12"/>
  <c r="N9" i="12"/>
  <c r="N8" i="12"/>
  <c r="N7" i="12"/>
  <c r="N6" i="12"/>
  <c r="N5" i="12"/>
  <c r="N4" i="12"/>
  <c r="N3" i="12"/>
  <c r="N2" i="12"/>
  <c r="J3" i="12"/>
  <c r="N1" i="12"/>
  <c r="L1" i="12"/>
  <c r="L9" i="12"/>
  <c r="L8" i="12"/>
  <c r="L7" i="12"/>
  <c r="O7" i="12" s="1"/>
  <c r="P7" i="12" s="1"/>
  <c r="L6" i="12"/>
  <c r="L5" i="12"/>
  <c r="L4" i="12"/>
  <c r="O4" i="12" s="1"/>
  <c r="P4" i="12" s="1"/>
  <c r="L3" i="12"/>
  <c r="O3" i="12" s="1"/>
  <c r="P3" i="12" s="1"/>
  <c r="L2" i="12"/>
  <c r="O2" i="12" s="1"/>
  <c r="P2" i="12" s="1"/>
  <c r="J1" i="12"/>
  <c r="A26" i="12"/>
  <c r="O31" i="11"/>
  <c r="P31" i="11" s="1"/>
  <c r="O26" i="11"/>
  <c r="P26" i="11" s="1"/>
  <c r="O27" i="11"/>
  <c r="P27" i="11" s="1"/>
  <c r="O28" i="11"/>
  <c r="P28" i="11" s="1"/>
  <c r="O32" i="11"/>
  <c r="P32" i="11" s="1"/>
  <c r="L9" i="11"/>
  <c r="L8" i="11"/>
  <c r="O8" i="11" s="1"/>
  <c r="P8" i="11" s="1"/>
  <c r="L7" i="11"/>
  <c r="L6" i="11"/>
  <c r="L5" i="11"/>
  <c r="L4" i="11"/>
  <c r="L3" i="11"/>
  <c r="L2" i="11"/>
  <c r="J1" i="11"/>
  <c r="L1" i="11"/>
  <c r="O1" i="11" s="1"/>
  <c r="P1" i="11" s="1"/>
  <c r="M9" i="11"/>
  <c r="M8" i="11"/>
  <c r="M7" i="11"/>
  <c r="M6" i="11"/>
  <c r="M5" i="11"/>
  <c r="M4" i="11"/>
  <c r="M3" i="11"/>
  <c r="M2" i="11"/>
  <c r="M1" i="11"/>
  <c r="J2" i="11"/>
  <c r="N9" i="11"/>
  <c r="N8" i="11"/>
  <c r="N7" i="11"/>
  <c r="N6" i="11"/>
  <c r="N5" i="11"/>
  <c r="N4" i="11"/>
  <c r="N3" i="11"/>
  <c r="N2" i="11"/>
  <c r="N1" i="11"/>
  <c r="J3" i="11"/>
  <c r="D22" i="10"/>
  <c r="J13" i="10" s="1"/>
  <c r="E22" i="10"/>
  <c r="K13" i="10" s="1"/>
  <c r="Q22" i="10"/>
  <c r="G22" i="10"/>
  <c r="K14" i="10" s="1"/>
  <c r="F22" i="10"/>
  <c r="J14" i="10" s="1"/>
  <c r="F10" i="10"/>
  <c r="E10" i="10"/>
  <c r="K1" i="10" s="1"/>
  <c r="D10" i="10"/>
  <c r="G10" i="10"/>
  <c r="K2" i="10" s="1"/>
  <c r="H10" i="10"/>
  <c r="I10" i="10"/>
  <c r="K3" i="10" s="1"/>
  <c r="J3" i="9"/>
  <c r="J13" i="9"/>
  <c r="L13" i="9" s="1"/>
  <c r="J11" i="9"/>
  <c r="L11" i="9" s="1"/>
  <c r="J4" i="9"/>
  <c r="J6" i="9"/>
  <c r="L6" i="9" s="1"/>
  <c r="J1" i="9"/>
  <c r="J7" i="9"/>
  <c r="J2" i="9"/>
  <c r="L2" i="9" s="1"/>
  <c r="J5" i="9"/>
  <c r="J12" i="9"/>
  <c r="L12" i="9" s="1"/>
  <c r="K12" i="9"/>
  <c r="K13" i="9"/>
  <c r="K11" i="9"/>
  <c r="K3" i="9"/>
  <c r="K14" i="9"/>
  <c r="K6" i="9"/>
  <c r="K4" i="9"/>
  <c r="K2" i="9"/>
  <c r="K5" i="9"/>
  <c r="K7" i="9"/>
  <c r="K1" i="9"/>
  <c r="J14" i="9"/>
  <c r="K15" i="9"/>
  <c r="J17" i="9"/>
  <c r="L17" i="9" s="1"/>
  <c r="J16" i="9"/>
  <c r="L16" i="9" s="1"/>
  <c r="J15" i="9"/>
  <c r="L15" i="9" s="1"/>
  <c r="I8" i="8"/>
  <c r="H8" i="8"/>
  <c r="N12" i="8" s="1"/>
  <c r="F8" i="8"/>
  <c r="D8" i="8"/>
  <c r="E8" i="8"/>
  <c r="G8" i="8"/>
  <c r="F8" i="7"/>
  <c r="H2" i="7" s="1"/>
  <c r="E8" i="7"/>
  <c r="I1" i="7" s="1"/>
  <c r="D8" i="7"/>
  <c r="H1" i="7" s="1"/>
  <c r="G8" i="7"/>
  <c r="I2" i="7" s="1"/>
  <c r="D6" i="6"/>
  <c r="H1" i="6" s="1"/>
  <c r="J12" i="6" s="1"/>
  <c r="E6" i="6"/>
  <c r="I1" i="6" s="1"/>
  <c r="J5" i="6" s="1"/>
  <c r="F6" i="6"/>
  <c r="H2" i="6" s="1"/>
  <c r="G6" i="6"/>
  <c r="I2" i="6" s="1"/>
  <c r="K4" i="6" s="1"/>
  <c r="G4" i="5"/>
  <c r="F4" i="5"/>
  <c r="E4" i="5"/>
  <c r="D4" i="5"/>
  <c r="G2" i="5"/>
  <c r="F2" i="5"/>
  <c r="D2" i="5"/>
  <c r="E2" i="5"/>
  <c r="G5" i="5"/>
  <c r="F5" i="5"/>
  <c r="E5" i="5"/>
  <c r="D5" i="5"/>
  <c r="E1" i="5"/>
  <c r="G1" i="5"/>
  <c r="F1" i="5"/>
  <c r="D1" i="5"/>
  <c r="F3" i="5"/>
  <c r="E3" i="5"/>
  <c r="D3" i="5"/>
  <c r="G3" i="5"/>
  <c r="K1" i="3"/>
  <c r="D6" i="3"/>
  <c r="H1" i="3" s="1"/>
  <c r="J2" i="3" s="1"/>
  <c r="E3" i="4"/>
  <c r="E4" i="4"/>
  <c r="F1" i="4"/>
  <c r="F3" i="4"/>
  <c r="F4" i="4"/>
  <c r="E1" i="4"/>
  <c r="E2" i="4"/>
  <c r="E5" i="4"/>
  <c r="F5" i="4"/>
  <c r="F2" i="4"/>
  <c r="H8" i="24" l="1"/>
  <c r="I9" i="24"/>
  <c r="I4" i="24"/>
  <c r="I7" i="24"/>
  <c r="I10" i="24"/>
  <c r="I6" i="24"/>
  <c r="I2" i="24"/>
  <c r="I8" i="24"/>
  <c r="I5" i="24"/>
  <c r="I3" i="24"/>
  <c r="H2" i="24"/>
  <c r="H6" i="24"/>
  <c r="H5" i="24"/>
  <c r="H10" i="24"/>
  <c r="H9" i="24"/>
  <c r="H7" i="24"/>
  <c r="H3" i="24"/>
  <c r="H4" i="24"/>
  <c r="J2" i="23"/>
  <c r="K2" i="23" s="1"/>
  <c r="J5" i="23"/>
  <c r="K5" i="23" s="1"/>
  <c r="J4" i="23"/>
  <c r="C21" i="23"/>
  <c r="K9" i="23"/>
  <c r="J3" i="23"/>
  <c r="J8" i="23"/>
  <c r="J7" i="23"/>
  <c r="K10" i="23"/>
  <c r="C22" i="23"/>
  <c r="J6" i="23"/>
  <c r="L1" i="22"/>
  <c r="C13" i="22" s="1"/>
  <c r="L6" i="22"/>
  <c r="C18" i="22" s="1"/>
  <c r="L5" i="22"/>
  <c r="C17" i="22" s="1"/>
  <c r="L3" i="22"/>
  <c r="M3" i="22" s="1"/>
  <c r="L7" i="22"/>
  <c r="C19" i="22" s="1"/>
  <c r="L9" i="22"/>
  <c r="M9" i="22" s="1"/>
  <c r="L8" i="22"/>
  <c r="M8" i="22" s="1"/>
  <c r="L2" i="22"/>
  <c r="C14" i="22" s="1"/>
  <c r="L4" i="22"/>
  <c r="C16" i="22" s="1"/>
  <c r="L6" i="21"/>
  <c r="C18" i="21" s="1"/>
  <c r="L7" i="21"/>
  <c r="C19" i="21" s="1"/>
  <c r="L3" i="21"/>
  <c r="C15" i="21" s="1"/>
  <c r="L2" i="21"/>
  <c r="M2" i="21" s="1"/>
  <c r="L9" i="21"/>
  <c r="C21" i="21" s="1"/>
  <c r="L1" i="21"/>
  <c r="C13" i="21" s="1"/>
  <c r="L5" i="21"/>
  <c r="C17" i="21" s="1"/>
  <c r="L4" i="21"/>
  <c r="M4" i="21" s="1"/>
  <c r="L8" i="21"/>
  <c r="M8" i="21" s="1"/>
  <c r="D10" i="20"/>
  <c r="H1" i="20" s="1"/>
  <c r="F10" i="20"/>
  <c r="H2" i="20" s="1"/>
  <c r="G10" i="20"/>
  <c r="V1" i="20" s="1"/>
  <c r="E10" i="20"/>
  <c r="T1" i="20" s="1"/>
  <c r="J1" i="18"/>
  <c r="J2" i="18"/>
  <c r="L5" i="18"/>
  <c r="L2" i="18"/>
  <c r="L6" i="18"/>
  <c r="L9" i="18"/>
  <c r="L7" i="18"/>
  <c r="N3" i="18"/>
  <c r="M2" i="18"/>
  <c r="M4" i="18"/>
  <c r="N1" i="18"/>
  <c r="L4" i="18"/>
  <c r="M6" i="18"/>
  <c r="M9" i="18"/>
  <c r="N9" i="18"/>
  <c r="M8" i="18"/>
  <c r="K1" i="18"/>
  <c r="L8" i="18"/>
  <c r="K3" i="18"/>
  <c r="N4" i="18"/>
  <c r="N2" i="18"/>
  <c r="Z1" i="18"/>
  <c r="M3" i="18"/>
  <c r="AD1" i="18"/>
  <c r="N6" i="18"/>
  <c r="M5" i="18"/>
  <c r="K2" i="18"/>
  <c r="N8" i="18"/>
  <c r="L3" i="18"/>
  <c r="M7" i="18"/>
  <c r="M1" i="18"/>
  <c r="N5" i="18"/>
  <c r="G10" i="17"/>
  <c r="AB1" i="17" s="1"/>
  <c r="E10" i="17"/>
  <c r="Z1" i="17" s="1"/>
  <c r="I10" i="17"/>
  <c r="D10" i="17"/>
  <c r="H10" i="17"/>
  <c r="F10" i="17"/>
  <c r="C13" i="16"/>
  <c r="Q1" i="16"/>
  <c r="Q9" i="16"/>
  <c r="C21" i="16"/>
  <c r="Q3" i="16"/>
  <c r="C15" i="16"/>
  <c r="C14" i="16"/>
  <c r="Q2" i="16"/>
  <c r="O4" i="16"/>
  <c r="P4" i="16" s="1"/>
  <c r="O5" i="16"/>
  <c r="P5" i="16" s="1"/>
  <c r="O6" i="16"/>
  <c r="P6" i="16" s="1"/>
  <c r="O7" i="16"/>
  <c r="P7" i="16" s="1"/>
  <c r="O8" i="16"/>
  <c r="P8" i="16" s="1"/>
  <c r="O9" i="15"/>
  <c r="P9" i="15" s="1"/>
  <c r="O1" i="15"/>
  <c r="P1" i="15" s="1"/>
  <c r="Q5" i="15"/>
  <c r="C17" i="15"/>
  <c r="O8" i="15"/>
  <c r="P8" i="15" s="1"/>
  <c r="C14" i="15"/>
  <c r="Q2" i="15"/>
  <c r="Q6" i="15"/>
  <c r="C18" i="15"/>
  <c r="O7" i="15"/>
  <c r="P7" i="15" s="1"/>
  <c r="O3" i="15"/>
  <c r="P3" i="15" s="1"/>
  <c r="O4" i="15"/>
  <c r="P4" i="15" s="1"/>
  <c r="M1" i="14"/>
  <c r="N5" i="14"/>
  <c r="L4" i="14"/>
  <c r="L5" i="14"/>
  <c r="L6" i="14"/>
  <c r="N1" i="14"/>
  <c r="L8" i="14"/>
  <c r="M7" i="14"/>
  <c r="M8" i="14"/>
  <c r="L7" i="14"/>
  <c r="N2" i="14"/>
  <c r="M9" i="14"/>
  <c r="N7" i="14"/>
  <c r="N8" i="14"/>
  <c r="J3" i="14"/>
  <c r="N6" i="14"/>
  <c r="N9" i="14"/>
  <c r="N3" i="14"/>
  <c r="N4" i="14"/>
  <c r="L9" i="14"/>
  <c r="M2" i="14"/>
  <c r="L1" i="14"/>
  <c r="M3" i="14"/>
  <c r="M5" i="14"/>
  <c r="L2" i="14"/>
  <c r="M4" i="14"/>
  <c r="L3" i="14"/>
  <c r="M6" i="14"/>
  <c r="L7" i="13"/>
  <c r="L8" i="13"/>
  <c r="M1" i="13"/>
  <c r="M3" i="13"/>
  <c r="O3" i="13" s="1"/>
  <c r="P3" i="13" s="1"/>
  <c r="M4" i="13"/>
  <c r="M5" i="13"/>
  <c r="O5" i="13" s="1"/>
  <c r="P5" i="13" s="1"/>
  <c r="M6" i="13"/>
  <c r="O6" i="13" s="1"/>
  <c r="P6" i="13" s="1"/>
  <c r="M7" i="13"/>
  <c r="O7" i="13" s="1"/>
  <c r="P7" i="13" s="1"/>
  <c r="J1" i="13"/>
  <c r="L1" i="13"/>
  <c r="L3" i="13"/>
  <c r="L9" i="13"/>
  <c r="O9" i="13" s="1"/>
  <c r="P9" i="13" s="1"/>
  <c r="L2" i="13"/>
  <c r="O2" i="13" s="1"/>
  <c r="P2" i="13" s="1"/>
  <c r="C14" i="13" s="1"/>
  <c r="L4" i="13"/>
  <c r="O8" i="13"/>
  <c r="P8" i="13" s="1"/>
  <c r="Q9" i="13"/>
  <c r="C21" i="13"/>
  <c r="C16" i="12"/>
  <c r="Q4" i="12"/>
  <c r="O5" i="12"/>
  <c r="P5" i="12" s="1"/>
  <c r="O6" i="12"/>
  <c r="P6" i="12" s="1"/>
  <c r="C14" i="12"/>
  <c r="Q2" i="12"/>
  <c r="Q3" i="12"/>
  <c r="C15" i="12"/>
  <c r="Q7" i="12"/>
  <c r="C19" i="12"/>
  <c r="O8" i="12"/>
  <c r="P8" i="12" s="1"/>
  <c r="O9" i="12"/>
  <c r="P9" i="12" s="1"/>
  <c r="O1" i="12"/>
  <c r="P1" i="12" s="1"/>
  <c r="O30" i="11"/>
  <c r="P30" i="11" s="1"/>
  <c r="O9" i="11"/>
  <c r="P9" i="11" s="1"/>
  <c r="O2" i="11"/>
  <c r="P2" i="11" s="1"/>
  <c r="C20" i="11"/>
  <c r="Q8" i="11"/>
  <c r="O3" i="11"/>
  <c r="P3" i="11" s="1"/>
  <c r="O4" i="11"/>
  <c r="P4" i="11" s="1"/>
  <c r="C13" i="11"/>
  <c r="Q1" i="11"/>
  <c r="O5" i="11"/>
  <c r="P5" i="11" s="1"/>
  <c r="O6" i="11"/>
  <c r="P6" i="11" s="1"/>
  <c r="O7" i="11"/>
  <c r="P7" i="11" s="1"/>
  <c r="J3" i="10"/>
  <c r="N1" i="10"/>
  <c r="L1" i="10"/>
  <c r="M1" i="10"/>
  <c r="J1" i="10"/>
  <c r="J2" i="10"/>
  <c r="L4" i="9"/>
  <c r="L3" i="9"/>
  <c r="L14" i="9"/>
  <c r="L5" i="9"/>
  <c r="M6" i="9"/>
  <c r="C16" i="9"/>
  <c r="M2" i="9"/>
  <c r="C12" i="9"/>
  <c r="L7" i="9"/>
  <c r="L1" i="9"/>
  <c r="L15" i="8"/>
  <c r="M15" i="8"/>
  <c r="M17" i="8"/>
  <c r="M12" i="8"/>
  <c r="N17" i="8"/>
  <c r="N11" i="8"/>
  <c r="L13" i="8"/>
  <c r="M14" i="8"/>
  <c r="L14" i="8"/>
  <c r="M11" i="8"/>
  <c r="L17" i="8"/>
  <c r="L1" i="8"/>
  <c r="L2" i="8"/>
  <c r="L3" i="8"/>
  <c r="L4" i="8"/>
  <c r="L16" i="8"/>
  <c r="L11" i="8"/>
  <c r="L5" i="8"/>
  <c r="L6" i="8"/>
  <c r="L7" i="8"/>
  <c r="M7" i="8"/>
  <c r="M2" i="8"/>
  <c r="M6" i="8"/>
  <c r="M1" i="8"/>
  <c r="M3" i="8"/>
  <c r="M16" i="8"/>
  <c r="M4" i="8"/>
  <c r="M5" i="8"/>
  <c r="M13" i="8"/>
  <c r="L12" i="8"/>
  <c r="O12" i="8" s="1"/>
  <c r="P12" i="8" s="1"/>
  <c r="N7" i="8"/>
  <c r="N6" i="8"/>
  <c r="N1" i="8"/>
  <c r="N2" i="8"/>
  <c r="N16" i="8"/>
  <c r="N3" i="8"/>
  <c r="N4" i="8"/>
  <c r="N5" i="8"/>
  <c r="N13" i="8"/>
  <c r="N15" i="8"/>
  <c r="N14" i="8"/>
  <c r="J11" i="7"/>
  <c r="J15" i="7"/>
  <c r="J16" i="7"/>
  <c r="J17" i="7"/>
  <c r="J4" i="7"/>
  <c r="J5" i="7"/>
  <c r="J6" i="7"/>
  <c r="J7" i="7"/>
  <c r="J12" i="7"/>
  <c r="J13" i="7"/>
  <c r="J14" i="7"/>
  <c r="K15" i="7"/>
  <c r="K16" i="7"/>
  <c r="K5" i="7"/>
  <c r="K12" i="7"/>
  <c r="K17" i="7"/>
  <c r="K6" i="7"/>
  <c r="K13" i="7"/>
  <c r="K7" i="7"/>
  <c r="K14" i="7"/>
  <c r="K4" i="7"/>
  <c r="J3" i="7"/>
  <c r="J2" i="7"/>
  <c r="J1" i="7"/>
  <c r="K1" i="7"/>
  <c r="K3" i="7"/>
  <c r="K2" i="7"/>
  <c r="K11" i="7"/>
  <c r="J2" i="6"/>
  <c r="J4" i="6"/>
  <c r="J3" i="6"/>
  <c r="J1" i="6"/>
  <c r="J9" i="6"/>
  <c r="K12" i="6"/>
  <c r="L12" i="6" s="1"/>
  <c r="J10" i="6"/>
  <c r="K3" i="6"/>
  <c r="J13" i="6"/>
  <c r="K2" i="6"/>
  <c r="L2" i="6" s="1"/>
  <c r="C10" i="6" s="1"/>
  <c r="J11" i="6"/>
  <c r="K1" i="6"/>
  <c r="L1" i="6" s="1"/>
  <c r="C9" i="6" s="1"/>
  <c r="K9" i="6"/>
  <c r="K5" i="6"/>
  <c r="L5" i="6" s="1"/>
  <c r="C13" i="6" s="1"/>
  <c r="K10" i="6"/>
  <c r="K11" i="6"/>
  <c r="L11" i="6" s="1"/>
  <c r="K13" i="6"/>
  <c r="L4" i="6"/>
  <c r="C12" i="6" s="1"/>
  <c r="L3" i="6"/>
  <c r="C11" i="6" s="1"/>
  <c r="L9" i="6"/>
  <c r="D6" i="5"/>
  <c r="H1" i="5" s="1"/>
  <c r="F6" i="5"/>
  <c r="H2" i="5" s="1"/>
  <c r="G6" i="5"/>
  <c r="I2" i="5" s="1"/>
  <c r="E6" i="5"/>
  <c r="I1" i="5" s="1"/>
  <c r="J3" i="5" s="1"/>
  <c r="J4" i="3"/>
  <c r="J3" i="3"/>
  <c r="J5" i="3"/>
  <c r="J1" i="3"/>
  <c r="G4" i="4"/>
  <c r="G3" i="4"/>
  <c r="G1" i="4"/>
  <c r="G2" i="4"/>
  <c r="G5" i="4"/>
  <c r="J8" i="24" l="1"/>
  <c r="C20" i="24" s="1"/>
  <c r="E20" i="24" s="1"/>
  <c r="N20" i="24" s="1"/>
  <c r="J9" i="24"/>
  <c r="C21" i="24" s="1"/>
  <c r="G21" i="24" s="1"/>
  <c r="P21" i="24" s="1"/>
  <c r="J6" i="24"/>
  <c r="C18" i="24" s="1"/>
  <c r="D18" i="24" s="1"/>
  <c r="M18" i="24" s="1"/>
  <c r="J5" i="24"/>
  <c r="K5" i="24" s="1"/>
  <c r="J7" i="24"/>
  <c r="J10" i="24"/>
  <c r="C22" i="24" s="1"/>
  <c r="D22" i="24" s="1"/>
  <c r="M22" i="24" s="1"/>
  <c r="J2" i="24"/>
  <c r="J4" i="24"/>
  <c r="J3" i="24"/>
  <c r="C14" i="23"/>
  <c r="C17" i="23"/>
  <c r="E21" i="23"/>
  <c r="N21" i="23" s="1"/>
  <c r="D21" i="23"/>
  <c r="M21" i="23" s="1"/>
  <c r="G21" i="23"/>
  <c r="P21" i="23" s="1"/>
  <c r="F21" i="23"/>
  <c r="O21" i="23" s="1"/>
  <c r="K6" i="23"/>
  <c r="C18" i="23"/>
  <c r="K4" i="23"/>
  <c r="C16" i="23"/>
  <c r="G22" i="23"/>
  <c r="P22" i="23" s="1"/>
  <c r="F22" i="23"/>
  <c r="O22" i="23" s="1"/>
  <c r="E22" i="23"/>
  <c r="N22" i="23" s="1"/>
  <c r="D22" i="23"/>
  <c r="M22" i="23" s="1"/>
  <c r="K7" i="23"/>
  <c r="C19" i="23"/>
  <c r="E17" i="23"/>
  <c r="N17" i="23" s="1"/>
  <c r="D17" i="23"/>
  <c r="M17" i="23" s="1"/>
  <c r="G17" i="23"/>
  <c r="P17" i="23" s="1"/>
  <c r="F17" i="23"/>
  <c r="O17" i="23" s="1"/>
  <c r="K3" i="23"/>
  <c r="C15" i="23"/>
  <c r="K8" i="23"/>
  <c r="C20" i="23"/>
  <c r="G14" i="23"/>
  <c r="D14" i="23"/>
  <c r="F14" i="23"/>
  <c r="E14" i="23"/>
  <c r="M1" i="22"/>
  <c r="M5" i="22"/>
  <c r="M6" i="22"/>
  <c r="C15" i="22"/>
  <c r="G15" i="22" s="1"/>
  <c r="R15" i="22" s="1"/>
  <c r="C20" i="22"/>
  <c r="G20" i="22" s="1"/>
  <c r="R20" i="22" s="1"/>
  <c r="C21" i="22"/>
  <c r="D21" i="22" s="1"/>
  <c r="O21" i="22" s="1"/>
  <c r="M7" i="22"/>
  <c r="M2" i="22"/>
  <c r="M4" i="22"/>
  <c r="G19" i="22"/>
  <c r="R19" i="22" s="1"/>
  <c r="E19" i="22"/>
  <c r="P19" i="22" s="1"/>
  <c r="F19" i="22"/>
  <c r="Q19" i="22" s="1"/>
  <c r="D19" i="22"/>
  <c r="O19" i="22" s="1"/>
  <c r="F17" i="22"/>
  <c r="Q17" i="22" s="1"/>
  <c r="E17" i="22"/>
  <c r="P17" i="22" s="1"/>
  <c r="D17" i="22"/>
  <c r="O17" i="22" s="1"/>
  <c r="G17" i="22"/>
  <c r="R17" i="22" s="1"/>
  <c r="G13" i="22"/>
  <c r="E13" i="22"/>
  <c r="D13" i="22"/>
  <c r="F13" i="22"/>
  <c r="F18" i="22"/>
  <c r="Q18" i="22" s="1"/>
  <c r="D18" i="22"/>
  <c r="O18" i="22" s="1"/>
  <c r="E18" i="22"/>
  <c r="P18" i="22" s="1"/>
  <c r="G18" i="22"/>
  <c r="R18" i="22" s="1"/>
  <c r="G16" i="22"/>
  <c r="R16" i="22" s="1"/>
  <c r="D16" i="22"/>
  <c r="O16" i="22" s="1"/>
  <c r="F16" i="22"/>
  <c r="Q16" i="22" s="1"/>
  <c r="E16" i="22"/>
  <c r="P16" i="22" s="1"/>
  <c r="E14" i="22"/>
  <c r="P14" i="22" s="1"/>
  <c r="G14" i="22"/>
  <c r="R14" i="22" s="1"/>
  <c r="F14" i="22"/>
  <c r="Q14" i="22" s="1"/>
  <c r="D14" i="22"/>
  <c r="O14" i="22" s="1"/>
  <c r="M3" i="21"/>
  <c r="M7" i="21"/>
  <c r="M6" i="21"/>
  <c r="M1" i="21"/>
  <c r="M9" i="21"/>
  <c r="C14" i="21"/>
  <c r="D14" i="21" s="1"/>
  <c r="O14" i="21" s="1"/>
  <c r="C20" i="21"/>
  <c r="E20" i="21" s="1"/>
  <c r="P20" i="21" s="1"/>
  <c r="C16" i="21"/>
  <c r="E16" i="21" s="1"/>
  <c r="P16" i="21" s="1"/>
  <c r="M5" i="21"/>
  <c r="F17" i="21"/>
  <c r="Q17" i="21" s="1"/>
  <c r="E17" i="21"/>
  <c r="P17" i="21" s="1"/>
  <c r="D17" i="21"/>
  <c r="O17" i="21" s="1"/>
  <c r="G17" i="21"/>
  <c r="R17" i="21" s="1"/>
  <c r="G18" i="21"/>
  <c r="R18" i="21" s="1"/>
  <c r="F18" i="21"/>
  <c r="Q18" i="21" s="1"/>
  <c r="E18" i="21"/>
  <c r="P18" i="21" s="1"/>
  <c r="D18" i="21"/>
  <c r="O18" i="21" s="1"/>
  <c r="G13" i="21"/>
  <c r="F13" i="21"/>
  <c r="D13" i="21"/>
  <c r="E13" i="21"/>
  <c r="E19" i="21"/>
  <c r="P19" i="21" s="1"/>
  <c r="G19" i="21"/>
  <c r="R19" i="21" s="1"/>
  <c r="F19" i="21"/>
  <c r="Q19" i="21" s="1"/>
  <c r="D19" i="21"/>
  <c r="O19" i="21" s="1"/>
  <c r="F21" i="21"/>
  <c r="Q21" i="21" s="1"/>
  <c r="D21" i="21"/>
  <c r="O21" i="21" s="1"/>
  <c r="E21" i="21"/>
  <c r="P21" i="21" s="1"/>
  <c r="G21" i="21"/>
  <c r="R21" i="21" s="1"/>
  <c r="G15" i="21"/>
  <c r="R15" i="21" s="1"/>
  <c r="E15" i="21"/>
  <c r="P15" i="21" s="1"/>
  <c r="F15" i="21"/>
  <c r="Q15" i="21" s="1"/>
  <c r="D15" i="21"/>
  <c r="O15" i="21" s="1"/>
  <c r="S1" i="20"/>
  <c r="K5" i="20"/>
  <c r="K2" i="20"/>
  <c r="K3" i="20"/>
  <c r="K7" i="20"/>
  <c r="K8" i="20"/>
  <c r="K6" i="20"/>
  <c r="K4" i="20"/>
  <c r="K9" i="20"/>
  <c r="K1" i="20"/>
  <c r="U1" i="20"/>
  <c r="I2" i="20"/>
  <c r="J7" i="20"/>
  <c r="J9" i="20"/>
  <c r="I1" i="20"/>
  <c r="J6" i="20"/>
  <c r="J8" i="20"/>
  <c r="J3" i="20"/>
  <c r="J5" i="20"/>
  <c r="J1" i="20"/>
  <c r="J2" i="20"/>
  <c r="J4" i="20"/>
  <c r="O8" i="18"/>
  <c r="P8" i="18" s="1"/>
  <c r="C20" i="18" s="1"/>
  <c r="O6" i="18"/>
  <c r="P6" i="18" s="1"/>
  <c r="C18" i="18" s="1"/>
  <c r="O2" i="18"/>
  <c r="P2" i="18" s="1"/>
  <c r="C14" i="18" s="1"/>
  <c r="O5" i="18"/>
  <c r="P5" i="18" s="1"/>
  <c r="C17" i="18" s="1"/>
  <c r="O1" i="18"/>
  <c r="P1" i="18" s="1"/>
  <c r="C13" i="18" s="1"/>
  <c r="G13" i="18" s="1"/>
  <c r="O7" i="18"/>
  <c r="P7" i="18" s="1"/>
  <c r="Q7" i="18" s="1"/>
  <c r="C19" i="18"/>
  <c r="D19" i="18" s="1"/>
  <c r="S19" i="18" s="1"/>
  <c r="O9" i="18"/>
  <c r="P9" i="18" s="1"/>
  <c r="Q9" i="18" s="1"/>
  <c r="O3" i="18"/>
  <c r="P3" i="18" s="1"/>
  <c r="Q3" i="18" s="1"/>
  <c r="O4" i="18"/>
  <c r="P4" i="18" s="1"/>
  <c r="C16" i="18" s="1"/>
  <c r="K2" i="17"/>
  <c r="M4" i="17"/>
  <c r="L2" i="17"/>
  <c r="N6" i="17"/>
  <c r="AD1" i="17"/>
  <c r="K3" i="17"/>
  <c r="K1" i="17"/>
  <c r="N9" i="17"/>
  <c r="N4" i="17"/>
  <c r="L1" i="17"/>
  <c r="L8" i="17"/>
  <c r="N1" i="17"/>
  <c r="N2" i="17"/>
  <c r="AC1" i="17"/>
  <c r="L9" i="17"/>
  <c r="Y1" i="17"/>
  <c r="J1" i="17"/>
  <c r="L6" i="17"/>
  <c r="N5" i="17"/>
  <c r="N3" i="17"/>
  <c r="L5" i="17"/>
  <c r="N7" i="17"/>
  <c r="L7" i="17"/>
  <c r="J3" i="17"/>
  <c r="L4" i="17"/>
  <c r="N8" i="17"/>
  <c r="L3" i="17"/>
  <c r="M1" i="17"/>
  <c r="J2" i="17"/>
  <c r="M9" i="17"/>
  <c r="M8" i="17"/>
  <c r="M6" i="17"/>
  <c r="M7" i="17"/>
  <c r="M5" i="17"/>
  <c r="M3" i="17"/>
  <c r="AA1" i="17"/>
  <c r="M2" i="17"/>
  <c r="Q7" i="16"/>
  <c r="C19" i="16"/>
  <c r="Q6" i="16"/>
  <c r="C18" i="16"/>
  <c r="H13" i="16"/>
  <c r="G13" i="16"/>
  <c r="I13" i="16"/>
  <c r="F13" i="16"/>
  <c r="E13" i="16"/>
  <c r="D13" i="16"/>
  <c r="C16" i="16"/>
  <c r="Q4" i="16"/>
  <c r="Q10" i="16" s="1"/>
  <c r="I15" i="16"/>
  <c r="H15" i="16"/>
  <c r="G15" i="16"/>
  <c r="F15" i="16"/>
  <c r="E15" i="16"/>
  <c r="D15" i="16"/>
  <c r="Q5" i="16"/>
  <c r="C17" i="16"/>
  <c r="D14" i="16"/>
  <c r="I14" i="16"/>
  <c r="H14" i="16"/>
  <c r="G14" i="16"/>
  <c r="F14" i="16"/>
  <c r="E14" i="16"/>
  <c r="C20" i="16"/>
  <c r="Q8" i="16"/>
  <c r="I21" i="16"/>
  <c r="H21" i="16"/>
  <c r="G21" i="16"/>
  <c r="F21" i="16"/>
  <c r="E21" i="16"/>
  <c r="D21" i="16"/>
  <c r="I14" i="15"/>
  <c r="H14" i="15"/>
  <c r="G14" i="15"/>
  <c r="D14" i="15"/>
  <c r="F14" i="15"/>
  <c r="E14" i="15"/>
  <c r="I17" i="15"/>
  <c r="H17" i="15"/>
  <c r="G17" i="15"/>
  <c r="F17" i="15"/>
  <c r="E17" i="15"/>
  <c r="D17" i="15"/>
  <c r="Q3" i="15"/>
  <c r="C15" i="15"/>
  <c r="C13" i="15"/>
  <c r="Q1" i="15"/>
  <c r="C16" i="15"/>
  <c r="Q4" i="15"/>
  <c r="Q7" i="15"/>
  <c r="C19" i="15"/>
  <c r="I18" i="15"/>
  <c r="H18" i="15"/>
  <c r="G18" i="15"/>
  <c r="F18" i="15"/>
  <c r="E18" i="15"/>
  <c r="D18" i="15"/>
  <c r="C20" i="15"/>
  <c r="Q8" i="15"/>
  <c r="Q9" i="15"/>
  <c r="C21" i="15"/>
  <c r="O6" i="14"/>
  <c r="P6" i="14" s="1"/>
  <c r="Q6" i="14" s="1"/>
  <c r="O5" i="14"/>
  <c r="P5" i="14" s="1"/>
  <c r="Q5" i="14" s="1"/>
  <c r="O3" i="14"/>
  <c r="P3" i="14" s="1"/>
  <c r="C15" i="14" s="1"/>
  <c r="O1" i="14"/>
  <c r="P1" i="14" s="1"/>
  <c r="C13" i="14" s="1"/>
  <c r="O7" i="14"/>
  <c r="P7" i="14" s="1"/>
  <c r="Q7" i="14" s="1"/>
  <c r="O8" i="14"/>
  <c r="P8" i="14" s="1"/>
  <c r="C20" i="14" s="1"/>
  <c r="H20" i="14" s="1"/>
  <c r="O9" i="14"/>
  <c r="P9" i="14" s="1"/>
  <c r="Q9" i="14" s="1"/>
  <c r="O4" i="14"/>
  <c r="P4" i="14" s="1"/>
  <c r="Q4" i="14" s="1"/>
  <c r="O2" i="14"/>
  <c r="P2" i="14" s="1"/>
  <c r="C14" i="14" s="1"/>
  <c r="O4" i="13"/>
  <c r="P4" i="13" s="1"/>
  <c r="Q4" i="13" s="1"/>
  <c r="O1" i="13"/>
  <c r="P1" i="13" s="1"/>
  <c r="Q1" i="13" s="1"/>
  <c r="Q2" i="13"/>
  <c r="Q7" i="13"/>
  <c r="C19" i="13"/>
  <c r="I21" i="13"/>
  <c r="H21" i="13"/>
  <c r="G21" i="13"/>
  <c r="F21" i="13"/>
  <c r="E21" i="13"/>
  <c r="D21" i="13"/>
  <c r="Q6" i="13"/>
  <c r="C18" i="13"/>
  <c r="C20" i="13"/>
  <c r="Q8" i="13"/>
  <c r="Q3" i="13"/>
  <c r="C15" i="13"/>
  <c r="Q5" i="13"/>
  <c r="C17" i="13"/>
  <c r="E14" i="13"/>
  <c r="I14" i="13"/>
  <c r="H14" i="13"/>
  <c r="D14" i="13"/>
  <c r="G14" i="13"/>
  <c r="F14" i="13"/>
  <c r="E16" i="12"/>
  <c r="D16" i="12"/>
  <c r="F16" i="12"/>
  <c r="I16" i="12"/>
  <c r="H16" i="12"/>
  <c r="G16" i="12"/>
  <c r="I15" i="12"/>
  <c r="H15" i="12"/>
  <c r="G15" i="12"/>
  <c r="F15" i="12"/>
  <c r="E15" i="12"/>
  <c r="D15" i="12"/>
  <c r="C13" i="12"/>
  <c r="Q1" i="12"/>
  <c r="Q10" i="12" s="1"/>
  <c r="C20" i="12"/>
  <c r="Q8" i="12"/>
  <c r="H19" i="12"/>
  <c r="G19" i="12"/>
  <c r="F19" i="12"/>
  <c r="E19" i="12"/>
  <c r="D19" i="12"/>
  <c r="I19" i="12"/>
  <c r="I14" i="12"/>
  <c r="H14" i="12"/>
  <c r="D14" i="12"/>
  <c r="G14" i="12"/>
  <c r="F14" i="12"/>
  <c r="E14" i="12"/>
  <c r="Q9" i="12"/>
  <c r="C21" i="12"/>
  <c r="Q6" i="12"/>
  <c r="C18" i="12"/>
  <c r="Q5" i="12"/>
  <c r="C17" i="12"/>
  <c r="I20" i="11"/>
  <c r="H20" i="11"/>
  <c r="G20" i="11"/>
  <c r="F20" i="11"/>
  <c r="E20" i="11"/>
  <c r="D20" i="11"/>
  <c r="C21" i="11"/>
  <c r="Q9" i="11"/>
  <c r="C19" i="11"/>
  <c r="Q7" i="11"/>
  <c r="C15" i="11"/>
  <c r="Q3" i="11"/>
  <c r="Q2" i="11"/>
  <c r="Q10" i="11" s="1"/>
  <c r="C14" i="11"/>
  <c r="C17" i="11"/>
  <c r="Q5" i="11"/>
  <c r="C18" i="11"/>
  <c r="Q6" i="11"/>
  <c r="I13" i="11"/>
  <c r="H13" i="11"/>
  <c r="G13" i="11"/>
  <c r="F13" i="11"/>
  <c r="E13" i="11"/>
  <c r="D13" i="11"/>
  <c r="Q4" i="11"/>
  <c r="C16" i="11"/>
  <c r="O1" i="10"/>
  <c r="P1" i="10" s="1"/>
  <c r="C13" i="10" s="1"/>
  <c r="M4" i="9"/>
  <c r="C14" i="9"/>
  <c r="C13" i="9"/>
  <c r="M3" i="9"/>
  <c r="C11" i="9"/>
  <c r="M1" i="9"/>
  <c r="C17" i="9"/>
  <c r="M7" i="9"/>
  <c r="C15" i="9"/>
  <c r="M5" i="9"/>
  <c r="G12" i="9"/>
  <c r="F12" i="9"/>
  <c r="E12" i="9"/>
  <c r="D12" i="9"/>
  <c r="M12" i="9"/>
  <c r="M16" i="9"/>
  <c r="F16" i="9"/>
  <c r="G16" i="9"/>
  <c r="E16" i="9"/>
  <c r="D16" i="9"/>
  <c r="O17" i="8"/>
  <c r="P17" i="8" s="1"/>
  <c r="O13" i="8"/>
  <c r="P13" i="8" s="1"/>
  <c r="O14" i="8"/>
  <c r="P14" i="8" s="1"/>
  <c r="O11" i="8"/>
  <c r="P11" i="8" s="1"/>
  <c r="O15" i="8"/>
  <c r="P15" i="8" s="1"/>
  <c r="O16" i="8"/>
  <c r="P16" i="8" s="1"/>
  <c r="O2" i="8"/>
  <c r="P2" i="8" s="1"/>
  <c r="C12" i="8" s="1"/>
  <c r="O5" i="8"/>
  <c r="P5" i="8" s="1"/>
  <c r="C15" i="8" s="1"/>
  <c r="O4" i="8"/>
  <c r="P4" i="8" s="1"/>
  <c r="C14" i="8" s="1"/>
  <c r="O3" i="8"/>
  <c r="P3" i="8" s="1"/>
  <c r="Q3" i="8" s="1"/>
  <c r="O6" i="8"/>
  <c r="P6" i="8" s="1"/>
  <c r="Q6" i="8" s="1"/>
  <c r="O7" i="8"/>
  <c r="P7" i="8" s="1"/>
  <c r="C17" i="8" s="1"/>
  <c r="O1" i="8"/>
  <c r="P1" i="8" s="1"/>
  <c r="Q1" i="8" s="1"/>
  <c r="L7" i="7"/>
  <c r="M7" i="7" s="1"/>
  <c r="L17" i="7"/>
  <c r="L12" i="7"/>
  <c r="L6" i="7"/>
  <c r="C16" i="7" s="1"/>
  <c r="L13" i="7"/>
  <c r="L11" i="7"/>
  <c r="L5" i="7"/>
  <c r="L15" i="7"/>
  <c r="L16" i="7"/>
  <c r="L4" i="7"/>
  <c r="L14" i="7"/>
  <c r="L2" i="7"/>
  <c r="L3" i="7"/>
  <c r="L1" i="7"/>
  <c r="L10" i="6"/>
  <c r="L13" i="6"/>
  <c r="F10" i="6"/>
  <c r="G10" i="6"/>
  <c r="D10" i="6"/>
  <c r="E10" i="6"/>
  <c r="F12" i="6"/>
  <c r="G12" i="6"/>
  <c r="D12" i="6"/>
  <c r="E12" i="6"/>
  <c r="F13" i="6"/>
  <c r="D13" i="6"/>
  <c r="G13" i="6"/>
  <c r="E13" i="6"/>
  <c r="G9" i="6"/>
  <c r="E9" i="6"/>
  <c r="F9" i="6"/>
  <c r="D9" i="6"/>
  <c r="D11" i="6"/>
  <c r="G11" i="6"/>
  <c r="E11" i="6"/>
  <c r="F11" i="6"/>
  <c r="K4" i="5"/>
  <c r="J5" i="5"/>
  <c r="K2" i="5"/>
  <c r="J2" i="5"/>
  <c r="J4" i="5"/>
  <c r="K3" i="5"/>
  <c r="K1" i="5"/>
  <c r="K5" i="5"/>
  <c r="J1" i="5"/>
  <c r="E21" i="24" l="1"/>
  <c r="N21" i="24" s="1"/>
  <c r="K9" i="24"/>
  <c r="K8" i="24"/>
  <c r="F20" i="24"/>
  <c r="O20" i="24" s="1"/>
  <c r="D20" i="24"/>
  <c r="M20" i="24" s="1"/>
  <c r="G20" i="24"/>
  <c r="P20" i="24" s="1"/>
  <c r="E22" i="24"/>
  <c r="N22" i="24" s="1"/>
  <c r="D21" i="24"/>
  <c r="M21" i="24" s="1"/>
  <c r="F21" i="24"/>
  <c r="O21" i="24" s="1"/>
  <c r="E18" i="24"/>
  <c r="N18" i="24" s="1"/>
  <c r="F18" i="24"/>
  <c r="O18" i="24" s="1"/>
  <c r="F22" i="24"/>
  <c r="O22" i="24" s="1"/>
  <c r="G22" i="24"/>
  <c r="P22" i="24" s="1"/>
  <c r="C17" i="24"/>
  <c r="F17" i="24" s="1"/>
  <c r="O17" i="24" s="1"/>
  <c r="K6" i="24"/>
  <c r="G18" i="24"/>
  <c r="P18" i="24" s="1"/>
  <c r="K10" i="24"/>
  <c r="C19" i="24"/>
  <c r="K7" i="24"/>
  <c r="K2" i="24"/>
  <c r="C14" i="24"/>
  <c r="C15" i="24"/>
  <c r="K3" i="24"/>
  <c r="C16" i="24"/>
  <c r="K4" i="24"/>
  <c r="K11" i="23"/>
  <c r="G15" i="23"/>
  <c r="P15" i="23" s="1"/>
  <c r="F15" i="23"/>
  <c r="O15" i="23" s="1"/>
  <c r="E15" i="23"/>
  <c r="N15" i="23" s="1"/>
  <c r="D15" i="23"/>
  <c r="M15" i="23" s="1"/>
  <c r="F16" i="23"/>
  <c r="O16" i="23" s="1"/>
  <c r="G16" i="23"/>
  <c r="P16" i="23" s="1"/>
  <c r="E16" i="23"/>
  <c r="N16" i="23" s="1"/>
  <c r="D16" i="23"/>
  <c r="M16" i="23" s="1"/>
  <c r="G18" i="23"/>
  <c r="P18" i="23" s="1"/>
  <c r="F18" i="23"/>
  <c r="O18" i="23" s="1"/>
  <c r="E18" i="23"/>
  <c r="N18" i="23" s="1"/>
  <c r="D18" i="23"/>
  <c r="M18" i="23" s="1"/>
  <c r="N14" i="23"/>
  <c r="F20" i="23"/>
  <c r="O20" i="23" s="1"/>
  <c r="G20" i="23"/>
  <c r="P20" i="23" s="1"/>
  <c r="E20" i="23"/>
  <c r="N20" i="23" s="1"/>
  <c r="D20" i="23"/>
  <c r="M20" i="23" s="1"/>
  <c r="O14" i="23"/>
  <c r="P14" i="23"/>
  <c r="M14" i="23"/>
  <c r="E19" i="23"/>
  <c r="N19" i="23" s="1"/>
  <c r="D19" i="23"/>
  <c r="M19" i="23" s="1"/>
  <c r="G19" i="23"/>
  <c r="P19" i="23" s="1"/>
  <c r="F19" i="23"/>
  <c r="O19" i="23" s="1"/>
  <c r="D15" i="22"/>
  <c r="O15" i="22" s="1"/>
  <c r="E15" i="22"/>
  <c r="P15" i="22" s="1"/>
  <c r="F15" i="22"/>
  <c r="Q15" i="22" s="1"/>
  <c r="F20" i="22"/>
  <c r="Q20" i="22" s="1"/>
  <c r="E20" i="22"/>
  <c r="P20" i="22" s="1"/>
  <c r="D20" i="22"/>
  <c r="O20" i="22" s="1"/>
  <c r="E21" i="22"/>
  <c r="P21" i="22" s="1"/>
  <c r="F21" i="22"/>
  <c r="Q21" i="22" s="1"/>
  <c r="G21" i="22"/>
  <c r="R21" i="22" s="1"/>
  <c r="M10" i="22"/>
  <c r="O13" i="22"/>
  <c r="Q13" i="22"/>
  <c r="P13" i="22"/>
  <c r="R13" i="22"/>
  <c r="E14" i="21"/>
  <c r="P14" i="21" s="1"/>
  <c r="D20" i="21"/>
  <c r="O20" i="21" s="1"/>
  <c r="F20" i="21"/>
  <c r="Q20" i="21" s="1"/>
  <c r="G20" i="21"/>
  <c r="R20" i="21" s="1"/>
  <c r="G14" i="21"/>
  <c r="R14" i="21" s="1"/>
  <c r="F14" i="21"/>
  <c r="Q14" i="21" s="1"/>
  <c r="F16" i="21"/>
  <c r="Q16" i="21" s="1"/>
  <c r="M10" i="21"/>
  <c r="D16" i="21"/>
  <c r="O16" i="21" s="1"/>
  <c r="G16" i="21"/>
  <c r="R16" i="21" s="1"/>
  <c r="P13" i="21"/>
  <c r="O13" i="21"/>
  <c r="Q13" i="21"/>
  <c r="R13" i="21"/>
  <c r="L2" i="20"/>
  <c r="C14" i="20" s="1"/>
  <c r="G14" i="20" s="1"/>
  <c r="R14" i="20" s="1"/>
  <c r="L9" i="20"/>
  <c r="M9" i="20" s="1"/>
  <c r="L7" i="20"/>
  <c r="M7" i="20" s="1"/>
  <c r="L1" i="20"/>
  <c r="C13" i="20" s="1"/>
  <c r="F13" i="20" s="1"/>
  <c r="L4" i="20"/>
  <c r="M4" i="20" s="1"/>
  <c r="L3" i="20"/>
  <c r="M3" i="20" s="1"/>
  <c r="L5" i="20"/>
  <c r="C17" i="20" s="1"/>
  <c r="E17" i="20" s="1"/>
  <c r="P17" i="20" s="1"/>
  <c r="L8" i="20"/>
  <c r="M8" i="20" s="1"/>
  <c r="L6" i="20"/>
  <c r="C18" i="20" s="1"/>
  <c r="D18" i="20" s="1"/>
  <c r="O18" i="20" s="1"/>
  <c r="Q2" i="18"/>
  <c r="Q6" i="18"/>
  <c r="Q8" i="18"/>
  <c r="Q5" i="18"/>
  <c r="C15" i="18"/>
  <c r="F15" i="18" s="1"/>
  <c r="U15" i="18" s="1"/>
  <c r="Q1" i="18"/>
  <c r="F19" i="18"/>
  <c r="U19" i="18" s="1"/>
  <c r="G19" i="18"/>
  <c r="V19" i="18" s="1"/>
  <c r="E19" i="18"/>
  <c r="T19" i="18" s="1"/>
  <c r="H19" i="18"/>
  <c r="W19" i="18" s="1"/>
  <c r="C21" i="18"/>
  <c r="H21" i="18" s="1"/>
  <c r="W21" i="18" s="1"/>
  <c r="H13" i="18"/>
  <c r="W13" i="18" s="1"/>
  <c r="I13" i="18"/>
  <c r="X13" i="18" s="1"/>
  <c r="Q4" i="18"/>
  <c r="I19" i="18"/>
  <c r="X19" i="18" s="1"/>
  <c r="F13" i="18"/>
  <c r="U13" i="18" s="1"/>
  <c r="D13" i="18"/>
  <c r="S13" i="18" s="1"/>
  <c r="E13" i="18"/>
  <c r="T13" i="18" s="1"/>
  <c r="I16" i="18"/>
  <c r="X16" i="18" s="1"/>
  <c r="H16" i="18"/>
  <c r="W16" i="18" s="1"/>
  <c r="G16" i="18"/>
  <c r="V16" i="18" s="1"/>
  <c r="F16" i="18"/>
  <c r="U16" i="18" s="1"/>
  <c r="E16" i="18"/>
  <c r="T16" i="18" s="1"/>
  <c r="D16" i="18"/>
  <c r="S16" i="18" s="1"/>
  <c r="E18" i="18"/>
  <c r="T18" i="18" s="1"/>
  <c r="D18" i="18"/>
  <c r="S18" i="18" s="1"/>
  <c r="I18" i="18"/>
  <c r="X18" i="18" s="1"/>
  <c r="F18" i="18"/>
  <c r="U18" i="18" s="1"/>
  <c r="H18" i="18"/>
  <c r="W18" i="18" s="1"/>
  <c r="G18" i="18"/>
  <c r="V18" i="18" s="1"/>
  <c r="I17" i="18"/>
  <c r="X17" i="18" s="1"/>
  <c r="H17" i="18"/>
  <c r="W17" i="18" s="1"/>
  <c r="G17" i="18"/>
  <c r="V17" i="18" s="1"/>
  <c r="F17" i="18"/>
  <c r="U17" i="18" s="1"/>
  <c r="E17" i="18"/>
  <c r="T17" i="18" s="1"/>
  <c r="D17" i="18"/>
  <c r="S17" i="18" s="1"/>
  <c r="I14" i="18"/>
  <c r="X14" i="18" s="1"/>
  <c r="H14" i="18"/>
  <c r="W14" i="18" s="1"/>
  <c r="G14" i="18"/>
  <c r="V14" i="18" s="1"/>
  <c r="F14" i="18"/>
  <c r="U14" i="18" s="1"/>
  <c r="E14" i="18"/>
  <c r="T14" i="18" s="1"/>
  <c r="D14" i="18"/>
  <c r="S14" i="18" s="1"/>
  <c r="V13" i="18"/>
  <c r="I20" i="18"/>
  <c r="X20" i="18" s="1"/>
  <c r="H20" i="18"/>
  <c r="W20" i="18" s="1"/>
  <c r="G20" i="18"/>
  <c r="V20" i="18" s="1"/>
  <c r="F20" i="18"/>
  <c r="U20" i="18" s="1"/>
  <c r="E20" i="18"/>
  <c r="T20" i="18" s="1"/>
  <c r="D20" i="18"/>
  <c r="S20" i="18" s="1"/>
  <c r="O2" i="17"/>
  <c r="P2" i="17" s="1"/>
  <c r="C14" i="17" s="1"/>
  <c r="F14" i="17" s="1"/>
  <c r="U14" i="17" s="1"/>
  <c r="O5" i="17"/>
  <c r="P5" i="17" s="1"/>
  <c r="Q5" i="17" s="1"/>
  <c r="O9" i="17"/>
  <c r="P9" i="17" s="1"/>
  <c r="C21" i="17" s="1"/>
  <c r="G21" i="17" s="1"/>
  <c r="V21" i="17" s="1"/>
  <c r="O4" i="17"/>
  <c r="P4" i="17" s="1"/>
  <c r="O1" i="17"/>
  <c r="P1" i="17" s="1"/>
  <c r="C13" i="17" s="1"/>
  <c r="E13" i="17" s="1"/>
  <c r="O3" i="17"/>
  <c r="P3" i="17" s="1"/>
  <c r="C15" i="17" s="1"/>
  <c r="D15" i="17" s="1"/>
  <c r="S15" i="17" s="1"/>
  <c r="O7" i="17"/>
  <c r="P7" i="17" s="1"/>
  <c r="O6" i="17"/>
  <c r="P6" i="17" s="1"/>
  <c r="C18" i="17" s="1"/>
  <c r="I18" i="17" s="1"/>
  <c r="X18" i="17" s="1"/>
  <c r="O8" i="17"/>
  <c r="P8" i="17" s="1"/>
  <c r="Q8" i="17" s="1"/>
  <c r="I17" i="16"/>
  <c r="H17" i="16"/>
  <c r="G17" i="16"/>
  <c r="G22" i="16" s="1"/>
  <c r="K14" i="16" s="1"/>
  <c r="F17" i="16"/>
  <c r="E17" i="16"/>
  <c r="D17" i="16"/>
  <c r="F22" i="16"/>
  <c r="H19" i="16"/>
  <c r="G19" i="16"/>
  <c r="F19" i="16"/>
  <c r="E19" i="16"/>
  <c r="D19" i="16"/>
  <c r="I19" i="16"/>
  <c r="E20" i="16"/>
  <c r="D20" i="16"/>
  <c r="I20" i="16"/>
  <c r="H20" i="16"/>
  <c r="F20" i="16"/>
  <c r="G20" i="16"/>
  <c r="E16" i="16"/>
  <c r="E22" i="16" s="1"/>
  <c r="K13" i="16" s="1"/>
  <c r="D16" i="16"/>
  <c r="D22" i="16" s="1"/>
  <c r="F16" i="16"/>
  <c r="I16" i="16"/>
  <c r="I22" i="16" s="1"/>
  <c r="K15" i="16" s="1"/>
  <c r="H16" i="16"/>
  <c r="G16" i="16"/>
  <c r="H22" i="16"/>
  <c r="I18" i="16"/>
  <c r="H18" i="16"/>
  <c r="G18" i="16"/>
  <c r="F18" i="16"/>
  <c r="E18" i="16"/>
  <c r="D18" i="16"/>
  <c r="I15" i="15"/>
  <c r="H15" i="15"/>
  <c r="G15" i="15"/>
  <c r="F15" i="15"/>
  <c r="E15" i="15"/>
  <c r="D15" i="15"/>
  <c r="H19" i="15"/>
  <c r="G19" i="15"/>
  <c r="F19" i="15"/>
  <c r="E19" i="15"/>
  <c r="D19" i="15"/>
  <c r="I19" i="15"/>
  <c r="E16" i="15"/>
  <c r="D16" i="15"/>
  <c r="I16" i="15"/>
  <c r="H16" i="15"/>
  <c r="F16" i="15"/>
  <c r="G16" i="15"/>
  <c r="E20" i="15"/>
  <c r="D20" i="15"/>
  <c r="I20" i="15"/>
  <c r="H20" i="15"/>
  <c r="F20" i="15"/>
  <c r="G20" i="15"/>
  <c r="Q10" i="15"/>
  <c r="I21" i="15"/>
  <c r="H21" i="15"/>
  <c r="G21" i="15"/>
  <c r="F21" i="15"/>
  <c r="E21" i="15"/>
  <c r="D21" i="15"/>
  <c r="H13" i="15"/>
  <c r="G13" i="15"/>
  <c r="F13" i="15"/>
  <c r="F22" i="15" s="1"/>
  <c r="E13" i="15"/>
  <c r="D13" i="15"/>
  <c r="I13" i="15"/>
  <c r="Q2" i="14"/>
  <c r="C17" i="14"/>
  <c r="I17" i="14" s="1"/>
  <c r="C18" i="14"/>
  <c r="I18" i="14" s="1"/>
  <c r="C21" i="14"/>
  <c r="H21" i="14" s="1"/>
  <c r="Q3" i="14"/>
  <c r="E20" i="14"/>
  <c r="Q8" i="14"/>
  <c r="G20" i="14"/>
  <c r="I20" i="14"/>
  <c r="D20" i="14"/>
  <c r="C19" i="14"/>
  <c r="D19" i="14" s="1"/>
  <c r="Q1" i="14"/>
  <c r="F20" i="14"/>
  <c r="C16" i="14"/>
  <c r="E16" i="14" s="1"/>
  <c r="I15" i="14"/>
  <c r="H15" i="14"/>
  <c r="G15" i="14"/>
  <c r="F15" i="14"/>
  <c r="E15" i="14"/>
  <c r="D15" i="14"/>
  <c r="I14" i="14"/>
  <c r="D14" i="14"/>
  <c r="H14" i="14"/>
  <c r="G14" i="14"/>
  <c r="F14" i="14"/>
  <c r="E14" i="14"/>
  <c r="H13" i="14"/>
  <c r="G13" i="14"/>
  <c r="F13" i="14"/>
  <c r="E13" i="14"/>
  <c r="D13" i="14"/>
  <c r="I13" i="14"/>
  <c r="C16" i="13"/>
  <c r="D16" i="13" s="1"/>
  <c r="C13" i="13"/>
  <c r="H13" i="13" s="1"/>
  <c r="Q10" i="13"/>
  <c r="E16" i="13"/>
  <c r="I15" i="13"/>
  <c r="H15" i="13"/>
  <c r="G15" i="13"/>
  <c r="F15" i="13"/>
  <c r="E15" i="13"/>
  <c r="D15" i="13"/>
  <c r="I17" i="13"/>
  <c r="H17" i="13"/>
  <c r="D17" i="13"/>
  <c r="G17" i="13"/>
  <c r="F17" i="13"/>
  <c r="E17" i="13"/>
  <c r="E20" i="13"/>
  <c r="D20" i="13"/>
  <c r="I20" i="13"/>
  <c r="F20" i="13"/>
  <c r="H20" i="13"/>
  <c r="G20" i="13"/>
  <c r="I18" i="13"/>
  <c r="H18" i="13"/>
  <c r="G18" i="13"/>
  <c r="F18" i="13"/>
  <c r="E18" i="13"/>
  <c r="D18" i="13"/>
  <c r="H19" i="13"/>
  <c r="G19" i="13"/>
  <c r="F19" i="13"/>
  <c r="E19" i="13"/>
  <c r="D19" i="13"/>
  <c r="I19" i="13"/>
  <c r="G13" i="12"/>
  <c r="F13" i="12"/>
  <c r="E13" i="12"/>
  <c r="D13" i="12"/>
  <c r="H13" i="12"/>
  <c r="I13" i="12"/>
  <c r="I18" i="12"/>
  <c r="H18" i="12"/>
  <c r="G18" i="12"/>
  <c r="F18" i="12"/>
  <c r="E18" i="12"/>
  <c r="D18" i="12"/>
  <c r="E20" i="12"/>
  <c r="D20" i="12"/>
  <c r="I20" i="12"/>
  <c r="H20" i="12"/>
  <c r="F20" i="12"/>
  <c r="G20" i="12"/>
  <c r="I17" i="12"/>
  <c r="H17" i="12"/>
  <c r="G17" i="12"/>
  <c r="F17" i="12"/>
  <c r="E17" i="12"/>
  <c r="D17" i="12"/>
  <c r="I21" i="12"/>
  <c r="H21" i="12"/>
  <c r="G21" i="12"/>
  <c r="F21" i="12"/>
  <c r="E21" i="12"/>
  <c r="D21" i="12"/>
  <c r="I17" i="11"/>
  <c r="H17" i="11"/>
  <c r="G17" i="11"/>
  <c r="F17" i="11"/>
  <c r="E17" i="11"/>
  <c r="D17" i="11"/>
  <c r="F15" i="11"/>
  <c r="E15" i="11"/>
  <c r="D15" i="11"/>
  <c r="I15" i="11"/>
  <c r="I22" i="11" s="1"/>
  <c r="K15" i="11" s="1"/>
  <c r="G15" i="11"/>
  <c r="H15" i="11"/>
  <c r="G22" i="11"/>
  <c r="K14" i="11" s="1"/>
  <c r="I21" i="11"/>
  <c r="H21" i="11"/>
  <c r="G21" i="11"/>
  <c r="F21" i="11"/>
  <c r="E21" i="11"/>
  <c r="D21" i="11"/>
  <c r="I16" i="11"/>
  <c r="H16" i="11"/>
  <c r="G16" i="11"/>
  <c r="F16" i="11"/>
  <c r="E16" i="11"/>
  <c r="D16" i="11"/>
  <c r="I14" i="11"/>
  <c r="H14" i="11"/>
  <c r="H22" i="11" s="1"/>
  <c r="G14" i="11"/>
  <c r="F14" i="11"/>
  <c r="F22" i="11" s="1"/>
  <c r="E14" i="11"/>
  <c r="E22" i="11" s="1"/>
  <c r="K13" i="11" s="1"/>
  <c r="D14" i="11"/>
  <c r="D22" i="11" s="1"/>
  <c r="D19" i="11"/>
  <c r="I19" i="11"/>
  <c r="H19" i="11"/>
  <c r="F19" i="11"/>
  <c r="G19" i="11"/>
  <c r="E19" i="11"/>
  <c r="G18" i="11"/>
  <c r="F18" i="11"/>
  <c r="E18" i="11"/>
  <c r="D18" i="11"/>
  <c r="H18" i="11"/>
  <c r="I18" i="11"/>
  <c r="Q1" i="10"/>
  <c r="E11" i="9"/>
  <c r="M11" i="9"/>
  <c r="G11" i="9"/>
  <c r="G18" i="9" s="1"/>
  <c r="I12" i="9" s="1"/>
  <c r="F11" i="9"/>
  <c r="F18" i="9" s="1"/>
  <c r="H12" i="9" s="1"/>
  <c r="D11" i="9"/>
  <c r="D18" i="9" s="1"/>
  <c r="H11" i="9" s="1"/>
  <c r="D14" i="9"/>
  <c r="G14" i="9"/>
  <c r="M14" i="9"/>
  <c r="F14" i="9"/>
  <c r="E14" i="9"/>
  <c r="G13" i="9"/>
  <c r="F13" i="9"/>
  <c r="M13" i="9"/>
  <c r="E13" i="9"/>
  <c r="D13" i="9"/>
  <c r="M15" i="9"/>
  <c r="D15" i="9"/>
  <c r="E15" i="9"/>
  <c r="G15" i="9"/>
  <c r="F15" i="9"/>
  <c r="M17" i="9"/>
  <c r="F17" i="9"/>
  <c r="E17" i="9"/>
  <c r="D17" i="9"/>
  <c r="G17" i="9"/>
  <c r="M8" i="9"/>
  <c r="I17" i="8"/>
  <c r="H17" i="8"/>
  <c r="G17" i="8"/>
  <c r="F17" i="8"/>
  <c r="E17" i="8"/>
  <c r="D17" i="8"/>
  <c r="F14" i="8"/>
  <c r="I14" i="8"/>
  <c r="H14" i="8"/>
  <c r="G14" i="8"/>
  <c r="F15" i="8"/>
  <c r="H15" i="8"/>
  <c r="E15" i="8"/>
  <c r="D15" i="8"/>
  <c r="G15" i="8"/>
  <c r="I15" i="8"/>
  <c r="G12" i="8"/>
  <c r="F12" i="8"/>
  <c r="I12" i="8"/>
  <c r="E12" i="8"/>
  <c r="D12" i="8"/>
  <c r="H12" i="8"/>
  <c r="Q5" i="8"/>
  <c r="Q2" i="8"/>
  <c r="C11" i="8"/>
  <c r="Q7" i="8"/>
  <c r="Q17" i="8"/>
  <c r="Q15" i="8"/>
  <c r="Q4" i="8"/>
  <c r="C16" i="8"/>
  <c r="C13" i="8"/>
  <c r="Q14" i="8"/>
  <c r="Q12" i="8"/>
  <c r="M16" i="7"/>
  <c r="C17" i="7"/>
  <c r="M17" i="7" s="1"/>
  <c r="M6" i="7"/>
  <c r="E16" i="7"/>
  <c r="D16" i="7"/>
  <c r="C11" i="7"/>
  <c r="M1" i="7"/>
  <c r="C12" i="7"/>
  <c r="M12" i="7" s="1"/>
  <c r="M2" i="7"/>
  <c r="C15" i="7"/>
  <c r="M15" i="7" s="1"/>
  <c r="M5" i="7"/>
  <c r="C13" i="7"/>
  <c r="M13" i="7" s="1"/>
  <c r="M3" i="7"/>
  <c r="G16" i="7"/>
  <c r="C14" i="7"/>
  <c r="M14" i="7" s="1"/>
  <c r="M4" i="7"/>
  <c r="F16" i="7"/>
  <c r="G14" i="6"/>
  <c r="I10" i="6" s="1"/>
  <c r="F14" i="6"/>
  <c r="H10" i="6" s="1"/>
  <c r="D14" i="6"/>
  <c r="H9" i="6" s="1"/>
  <c r="E14" i="6"/>
  <c r="I9" i="6" s="1"/>
  <c r="L1" i="5"/>
  <c r="G17" i="24" l="1"/>
  <c r="P17" i="24" s="1"/>
  <c r="D17" i="24"/>
  <c r="M17" i="24" s="1"/>
  <c r="E17" i="24"/>
  <c r="N17" i="24" s="1"/>
  <c r="G19" i="24"/>
  <c r="P19" i="24" s="1"/>
  <c r="F19" i="24"/>
  <c r="O19" i="24" s="1"/>
  <c r="E19" i="24"/>
  <c r="N19" i="24" s="1"/>
  <c r="D19" i="24"/>
  <c r="M19" i="24" s="1"/>
  <c r="K11" i="24"/>
  <c r="G16" i="24"/>
  <c r="P16" i="24" s="1"/>
  <c r="F16" i="24"/>
  <c r="O16" i="24" s="1"/>
  <c r="E16" i="24"/>
  <c r="N16" i="24" s="1"/>
  <c r="D16" i="24"/>
  <c r="M16" i="24" s="1"/>
  <c r="F14" i="24"/>
  <c r="D14" i="24"/>
  <c r="G14" i="24"/>
  <c r="E14" i="24"/>
  <c r="F15" i="24"/>
  <c r="O15" i="24" s="1"/>
  <c r="G15" i="24"/>
  <c r="P15" i="24" s="1"/>
  <c r="E15" i="24"/>
  <c r="N15" i="24" s="1"/>
  <c r="D15" i="24"/>
  <c r="M15" i="24" s="1"/>
  <c r="D23" i="23"/>
  <c r="F23" i="23"/>
  <c r="E23" i="23"/>
  <c r="G23" i="23"/>
  <c r="E22" i="22"/>
  <c r="I13" i="22" s="1"/>
  <c r="F22" i="22"/>
  <c r="U13" i="22" s="1"/>
  <c r="D22" i="22"/>
  <c r="H13" i="22" s="1"/>
  <c r="G22" i="22"/>
  <c r="I14" i="22" s="1"/>
  <c r="E22" i="21"/>
  <c r="I13" i="21" s="1"/>
  <c r="D22" i="21"/>
  <c r="G22" i="21"/>
  <c r="F22" i="21"/>
  <c r="H14" i="21" s="1"/>
  <c r="C15" i="20"/>
  <c r="G15" i="20" s="1"/>
  <c r="R15" i="20" s="1"/>
  <c r="G13" i="20"/>
  <c r="R13" i="20" s="1"/>
  <c r="M1" i="20"/>
  <c r="C16" i="20"/>
  <c r="G16" i="20" s="1"/>
  <c r="R16" i="20" s="1"/>
  <c r="M2" i="20"/>
  <c r="E13" i="20"/>
  <c r="P13" i="20" s="1"/>
  <c r="D14" i="20"/>
  <c r="O14" i="20" s="1"/>
  <c r="F17" i="20"/>
  <c r="Q17" i="20" s="1"/>
  <c r="G17" i="20"/>
  <c r="R17" i="20" s="1"/>
  <c r="D13" i="20"/>
  <c r="O13" i="20" s="1"/>
  <c r="E14" i="20"/>
  <c r="P14" i="20" s="1"/>
  <c r="F14" i="20"/>
  <c r="Q14" i="20" s="1"/>
  <c r="M6" i="20"/>
  <c r="C19" i="20"/>
  <c r="G19" i="20" s="1"/>
  <c r="R19" i="20" s="1"/>
  <c r="G18" i="20"/>
  <c r="R18" i="20" s="1"/>
  <c r="C21" i="20"/>
  <c r="G21" i="20" s="1"/>
  <c r="R21" i="20" s="1"/>
  <c r="E18" i="20"/>
  <c r="P18" i="20" s="1"/>
  <c r="M5" i="20"/>
  <c r="D17" i="20"/>
  <c r="O17" i="20" s="1"/>
  <c r="F18" i="20"/>
  <c r="Q18" i="20" s="1"/>
  <c r="C20" i="20"/>
  <c r="G20" i="20" s="1"/>
  <c r="R20" i="20" s="1"/>
  <c r="Q13" i="20"/>
  <c r="D21" i="18"/>
  <c r="S21" i="18" s="1"/>
  <c r="I21" i="18"/>
  <c r="X21" i="18" s="1"/>
  <c r="D15" i="18"/>
  <c r="S15" i="18" s="1"/>
  <c r="G15" i="18"/>
  <c r="V15" i="18" s="1"/>
  <c r="H15" i="18"/>
  <c r="W15" i="18" s="1"/>
  <c r="I15" i="18"/>
  <c r="X15" i="18" s="1"/>
  <c r="Q10" i="18"/>
  <c r="E15" i="18"/>
  <c r="T15" i="18" s="1"/>
  <c r="E21" i="18"/>
  <c r="T21" i="18" s="1"/>
  <c r="F21" i="18"/>
  <c r="U21" i="18" s="1"/>
  <c r="G21" i="18"/>
  <c r="V21" i="18" s="1"/>
  <c r="G14" i="17"/>
  <c r="V14" i="17" s="1"/>
  <c r="D14" i="17"/>
  <c r="S14" i="17" s="1"/>
  <c r="E14" i="17"/>
  <c r="T14" i="17" s="1"/>
  <c r="H14" i="17"/>
  <c r="W14" i="17" s="1"/>
  <c r="I14" i="17"/>
  <c r="X14" i="17" s="1"/>
  <c r="Q2" i="17"/>
  <c r="F13" i="17"/>
  <c r="U13" i="17" s="1"/>
  <c r="G13" i="17"/>
  <c r="V13" i="17" s="1"/>
  <c r="F15" i="17"/>
  <c r="U15" i="17" s="1"/>
  <c r="H13" i="17"/>
  <c r="W13" i="17" s="1"/>
  <c r="G15" i="17"/>
  <c r="V15" i="17" s="1"/>
  <c r="I13" i="17"/>
  <c r="X13" i="17" s="1"/>
  <c r="Q1" i="17"/>
  <c r="D13" i="17"/>
  <c r="S13" i="17" s="1"/>
  <c r="C17" i="17"/>
  <c r="G17" i="17" s="1"/>
  <c r="V17" i="17" s="1"/>
  <c r="I21" i="17"/>
  <c r="X21" i="17" s="1"/>
  <c r="Q9" i="17"/>
  <c r="D21" i="17"/>
  <c r="S21" i="17" s="1"/>
  <c r="E21" i="17"/>
  <c r="T21" i="17" s="1"/>
  <c r="F21" i="17"/>
  <c r="U21" i="17" s="1"/>
  <c r="H21" i="17"/>
  <c r="W21" i="17" s="1"/>
  <c r="Q4" i="17"/>
  <c r="C16" i="17"/>
  <c r="C19" i="17"/>
  <c r="Q7" i="17"/>
  <c r="I15" i="17"/>
  <c r="X15" i="17" s="1"/>
  <c r="H18" i="17"/>
  <c r="W18" i="17" s="1"/>
  <c r="Q3" i="17"/>
  <c r="D18" i="17"/>
  <c r="S18" i="17" s="1"/>
  <c r="E18" i="17"/>
  <c r="T18" i="17" s="1"/>
  <c r="H15" i="17"/>
  <c r="W15" i="17" s="1"/>
  <c r="F18" i="17"/>
  <c r="U18" i="17" s="1"/>
  <c r="C20" i="17"/>
  <c r="E20" i="17" s="1"/>
  <c r="T20" i="17" s="1"/>
  <c r="E15" i="17"/>
  <c r="T15" i="17" s="1"/>
  <c r="G18" i="17"/>
  <c r="V18" i="17" s="1"/>
  <c r="Q6" i="17"/>
  <c r="T13" i="17"/>
  <c r="L21" i="16"/>
  <c r="L17" i="16"/>
  <c r="L13" i="16"/>
  <c r="L19" i="16"/>
  <c r="L15" i="16"/>
  <c r="J13" i="16"/>
  <c r="L14" i="16"/>
  <c r="L18" i="16"/>
  <c r="L16" i="16"/>
  <c r="L20" i="16"/>
  <c r="O20" i="16" s="1"/>
  <c r="P20" i="16" s="1"/>
  <c r="J15" i="16"/>
  <c r="N21" i="16"/>
  <c r="N17" i="16"/>
  <c r="N18" i="16"/>
  <c r="N19" i="16"/>
  <c r="N16" i="16"/>
  <c r="N14" i="16"/>
  <c r="N20" i="16"/>
  <c r="N15" i="16"/>
  <c r="N13" i="16"/>
  <c r="J14" i="16"/>
  <c r="M19" i="16"/>
  <c r="M17" i="16"/>
  <c r="M15" i="16"/>
  <c r="M14" i="16"/>
  <c r="M13" i="16"/>
  <c r="M20" i="16"/>
  <c r="M21" i="16"/>
  <c r="M16" i="16"/>
  <c r="M18" i="16"/>
  <c r="G22" i="15"/>
  <c r="K14" i="15" s="1"/>
  <c r="H22" i="15"/>
  <c r="M18" i="15"/>
  <c r="J14" i="15"/>
  <c r="M21" i="15"/>
  <c r="I22" i="15"/>
  <c r="K15" i="15" s="1"/>
  <c r="D22" i="15"/>
  <c r="E22" i="15"/>
  <c r="K13" i="15" s="1"/>
  <c r="G21" i="14"/>
  <c r="I21" i="14"/>
  <c r="E17" i="14"/>
  <c r="G17" i="14"/>
  <c r="G18" i="14"/>
  <c r="D17" i="14"/>
  <c r="F17" i="14"/>
  <c r="H18" i="14"/>
  <c r="H17" i="14"/>
  <c r="F18" i="14"/>
  <c r="E18" i="14"/>
  <c r="H16" i="14"/>
  <c r="D18" i="14"/>
  <c r="D21" i="14"/>
  <c r="F21" i="14"/>
  <c r="E21" i="14"/>
  <c r="Q10" i="14"/>
  <c r="G16" i="14"/>
  <c r="F19" i="14"/>
  <c r="H19" i="14"/>
  <c r="I16" i="14"/>
  <c r="E19" i="14"/>
  <c r="I19" i="14"/>
  <c r="G19" i="14"/>
  <c r="F16" i="14"/>
  <c r="D16" i="14"/>
  <c r="D13" i="13"/>
  <c r="I13" i="13"/>
  <c r="F16" i="13"/>
  <c r="E13" i="13"/>
  <c r="E22" i="13" s="1"/>
  <c r="K13" i="13" s="1"/>
  <c r="F13" i="13"/>
  <c r="F22" i="13" s="1"/>
  <c r="J14" i="13" s="1"/>
  <c r="G13" i="13"/>
  <c r="G16" i="13"/>
  <c r="H16" i="13"/>
  <c r="I16" i="13"/>
  <c r="H22" i="13"/>
  <c r="I22" i="13"/>
  <c r="K15" i="13" s="1"/>
  <c r="D22" i="13"/>
  <c r="D22" i="12"/>
  <c r="E22" i="12"/>
  <c r="K13" i="12" s="1"/>
  <c r="F22" i="12"/>
  <c r="G22" i="12"/>
  <c r="K14" i="12" s="1"/>
  <c r="I22" i="12"/>
  <c r="K15" i="12" s="1"/>
  <c r="H22" i="12"/>
  <c r="J14" i="11"/>
  <c r="M13" i="11"/>
  <c r="J15" i="11"/>
  <c r="O20" i="11"/>
  <c r="P20" i="11" s="1"/>
  <c r="L13" i="11"/>
  <c r="J13" i="11"/>
  <c r="O14" i="11"/>
  <c r="P14" i="11" s="1"/>
  <c r="O19" i="11"/>
  <c r="P19" i="11" s="1"/>
  <c r="O18" i="11"/>
  <c r="P18" i="11" s="1"/>
  <c r="Q10" i="10"/>
  <c r="M18" i="9"/>
  <c r="E18" i="9"/>
  <c r="I11" i="9" s="1"/>
  <c r="D11" i="8"/>
  <c r="F11" i="8"/>
  <c r="E11" i="8"/>
  <c r="I11" i="8"/>
  <c r="G11" i="8"/>
  <c r="H11" i="8"/>
  <c r="I16" i="8"/>
  <c r="H16" i="8"/>
  <c r="G16" i="8"/>
  <c r="F16" i="8"/>
  <c r="E16" i="8"/>
  <c r="D16" i="8"/>
  <c r="I13" i="8"/>
  <c r="H13" i="8"/>
  <c r="G13" i="8"/>
  <c r="F13" i="8"/>
  <c r="E13" i="8"/>
  <c r="D13" i="8"/>
  <c r="Q11" i="8"/>
  <c r="Q8" i="8"/>
  <c r="Q16" i="8"/>
  <c r="Q13" i="8"/>
  <c r="D11" i="7"/>
  <c r="M11" i="7"/>
  <c r="M18" i="7" s="1"/>
  <c r="E17" i="7"/>
  <c r="F17" i="7"/>
  <c r="G17" i="7"/>
  <c r="D17" i="7"/>
  <c r="F13" i="7"/>
  <c r="E13" i="7"/>
  <c r="M8" i="7"/>
  <c r="D13" i="7"/>
  <c r="G11" i="7"/>
  <c r="D14" i="7"/>
  <c r="G14" i="7"/>
  <c r="E14" i="7"/>
  <c r="F14" i="7"/>
  <c r="F11" i="7"/>
  <c r="E11" i="7"/>
  <c r="G12" i="7"/>
  <c r="F12" i="7"/>
  <c r="E12" i="7"/>
  <c r="D12" i="7"/>
  <c r="D15" i="7"/>
  <c r="G15" i="7"/>
  <c r="E15" i="7"/>
  <c r="F15" i="7"/>
  <c r="G13" i="7"/>
  <c r="N14" i="24" l="1"/>
  <c r="E23" i="24"/>
  <c r="G23" i="24"/>
  <c r="P14" i="24"/>
  <c r="M14" i="24"/>
  <c r="D23" i="24"/>
  <c r="O14" i="24"/>
  <c r="F23" i="24"/>
  <c r="H15" i="23"/>
  <c r="H22" i="23"/>
  <c r="H18" i="23"/>
  <c r="H21" i="23"/>
  <c r="H17" i="23"/>
  <c r="H20" i="23"/>
  <c r="H16" i="23"/>
  <c r="H14" i="23"/>
  <c r="H19" i="23"/>
  <c r="I15" i="23"/>
  <c r="I18" i="23"/>
  <c r="I20" i="23"/>
  <c r="I16" i="23"/>
  <c r="I22" i="23"/>
  <c r="I19" i="23"/>
  <c r="I21" i="23"/>
  <c r="I17" i="23"/>
  <c r="I14" i="23"/>
  <c r="T13" i="22"/>
  <c r="H14" i="22"/>
  <c r="J20" i="22"/>
  <c r="K13" i="22"/>
  <c r="J18" i="22"/>
  <c r="K16" i="22"/>
  <c r="J16" i="22"/>
  <c r="K14" i="22"/>
  <c r="K19" i="22"/>
  <c r="L19" i="22" s="1"/>
  <c r="J14" i="22"/>
  <c r="L14" i="22" s="1"/>
  <c r="C26" i="22" s="1"/>
  <c r="K15" i="22"/>
  <c r="K17" i="22"/>
  <c r="K21" i="22"/>
  <c r="J17" i="22"/>
  <c r="V13" i="22"/>
  <c r="J15" i="22"/>
  <c r="S13" i="22"/>
  <c r="J19" i="22"/>
  <c r="J13" i="22"/>
  <c r="J21" i="22"/>
  <c r="K20" i="22"/>
  <c r="K18" i="22"/>
  <c r="J20" i="21"/>
  <c r="T13" i="21"/>
  <c r="K18" i="21"/>
  <c r="U13" i="21"/>
  <c r="J13" i="21"/>
  <c r="J21" i="21"/>
  <c r="J16" i="21"/>
  <c r="J17" i="21"/>
  <c r="S13" i="21"/>
  <c r="J14" i="21"/>
  <c r="H13" i="21"/>
  <c r="J18" i="21"/>
  <c r="J19" i="21"/>
  <c r="J15" i="21"/>
  <c r="K17" i="21"/>
  <c r="K13" i="21"/>
  <c r="K15" i="21"/>
  <c r="K19" i="21"/>
  <c r="I14" i="21"/>
  <c r="K21" i="21"/>
  <c r="K14" i="21"/>
  <c r="V13" i="21"/>
  <c r="K16" i="21"/>
  <c r="K20" i="21"/>
  <c r="E20" i="20"/>
  <c r="P20" i="20" s="1"/>
  <c r="E15" i="20"/>
  <c r="P15" i="20" s="1"/>
  <c r="D15" i="20"/>
  <c r="O15" i="20" s="1"/>
  <c r="F15" i="20"/>
  <c r="Q15" i="20" s="1"/>
  <c r="F16" i="20"/>
  <c r="Q16" i="20" s="1"/>
  <c r="E16" i="20"/>
  <c r="P16" i="20" s="1"/>
  <c r="D16" i="20"/>
  <c r="O16" i="20" s="1"/>
  <c r="M10" i="20"/>
  <c r="D20" i="20"/>
  <c r="O20" i="20" s="1"/>
  <c r="D19" i="20"/>
  <c r="O19" i="20" s="1"/>
  <c r="E19" i="20"/>
  <c r="P19" i="20" s="1"/>
  <c r="F19" i="20"/>
  <c r="Q19" i="20" s="1"/>
  <c r="G22" i="20"/>
  <c r="I14" i="20" s="1"/>
  <c r="F21" i="20"/>
  <c r="Q21" i="20" s="1"/>
  <c r="F20" i="20"/>
  <c r="Q20" i="20" s="1"/>
  <c r="E21" i="20"/>
  <c r="P21" i="20" s="1"/>
  <c r="D21" i="20"/>
  <c r="O21" i="20" s="1"/>
  <c r="D22" i="18"/>
  <c r="Y13" i="18" s="1"/>
  <c r="F22" i="18"/>
  <c r="AA13" i="18" s="1"/>
  <c r="H22" i="18"/>
  <c r="J15" i="18" s="1"/>
  <c r="I22" i="18"/>
  <c r="N13" i="18" s="1"/>
  <c r="E22" i="18"/>
  <c r="G22" i="18"/>
  <c r="K14" i="18" s="1"/>
  <c r="F17" i="17"/>
  <c r="U17" i="17" s="1"/>
  <c r="H17" i="17"/>
  <c r="W17" i="17" s="1"/>
  <c r="E17" i="17"/>
  <c r="T17" i="17" s="1"/>
  <c r="D17" i="17"/>
  <c r="S17" i="17" s="1"/>
  <c r="I17" i="17"/>
  <c r="X17" i="17" s="1"/>
  <c r="Q10" i="17"/>
  <c r="G16" i="17"/>
  <c r="V16" i="17" s="1"/>
  <c r="I16" i="17"/>
  <c r="X16" i="17" s="1"/>
  <c r="D16" i="17"/>
  <c r="S16" i="17" s="1"/>
  <c r="H16" i="17"/>
  <c r="W16" i="17" s="1"/>
  <c r="F16" i="17"/>
  <c r="U16" i="17" s="1"/>
  <c r="E16" i="17"/>
  <c r="T16" i="17" s="1"/>
  <c r="G20" i="17"/>
  <c r="V20" i="17" s="1"/>
  <c r="D20" i="17"/>
  <c r="S20" i="17" s="1"/>
  <c r="F20" i="17"/>
  <c r="U20" i="17" s="1"/>
  <c r="I20" i="17"/>
  <c r="X20" i="17" s="1"/>
  <c r="H20" i="17"/>
  <c r="W20" i="17" s="1"/>
  <c r="D19" i="17"/>
  <c r="E19" i="17"/>
  <c r="T19" i="17" s="1"/>
  <c r="I19" i="17"/>
  <c r="X19" i="17" s="1"/>
  <c r="H19" i="17"/>
  <c r="W19" i="17" s="1"/>
  <c r="G19" i="17"/>
  <c r="V19" i="17" s="1"/>
  <c r="F19" i="17"/>
  <c r="U19" i="17" s="1"/>
  <c r="O16" i="16"/>
  <c r="P16" i="16" s="1"/>
  <c r="O18" i="16"/>
  <c r="P18" i="16" s="1"/>
  <c r="C32" i="16"/>
  <c r="Q20" i="16"/>
  <c r="O14" i="16"/>
  <c r="P14" i="16" s="1"/>
  <c r="O15" i="16"/>
  <c r="P15" i="16" s="1"/>
  <c r="O13" i="16"/>
  <c r="P13" i="16" s="1"/>
  <c r="O19" i="16"/>
  <c r="P19" i="16" s="1"/>
  <c r="O17" i="16"/>
  <c r="P17" i="16" s="1"/>
  <c r="O21" i="16"/>
  <c r="P21" i="16" s="1"/>
  <c r="L18" i="15"/>
  <c r="L14" i="15"/>
  <c r="O14" i="15" s="1"/>
  <c r="P14" i="15" s="1"/>
  <c r="L13" i="15"/>
  <c r="L19" i="15"/>
  <c r="L15" i="15"/>
  <c r="O15" i="15" s="1"/>
  <c r="P15" i="15" s="1"/>
  <c r="J13" i="15"/>
  <c r="L16" i="15"/>
  <c r="L20" i="15"/>
  <c r="L17" i="15"/>
  <c r="L21" i="15"/>
  <c r="O21" i="15" s="1"/>
  <c r="P21" i="15" s="1"/>
  <c r="M17" i="15"/>
  <c r="J15" i="15"/>
  <c r="N14" i="15"/>
  <c r="N13" i="15"/>
  <c r="N18" i="15"/>
  <c r="N21" i="15"/>
  <c r="N19" i="15"/>
  <c r="N17" i="15"/>
  <c r="N16" i="15"/>
  <c r="N20" i="15"/>
  <c r="N15" i="15"/>
  <c r="M15" i="15"/>
  <c r="M19" i="15"/>
  <c r="M14" i="15"/>
  <c r="M20" i="15"/>
  <c r="M16" i="15"/>
  <c r="M13" i="15"/>
  <c r="D22" i="14"/>
  <c r="F22" i="14"/>
  <c r="I22" i="14"/>
  <c r="K15" i="14" s="1"/>
  <c r="G22" i="14"/>
  <c r="K14" i="14" s="1"/>
  <c r="E22" i="14"/>
  <c r="K13" i="14" s="1"/>
  <c r="H22" i="14"/>
  <c r="J15" i="14" s="1"/>
  <c r="G22" i="13"/>
  <c r="K14" i="13" s="1"/>
  <c r="M17" i="13"/>
  <c r="M15" i="13"/>
  <c r="M14" i="13"/>
  <c r="M18" i="13"/>
  <c r="M16" i="13"/>
  <c r="M20" i="13"/>
  <c r="M19" i="13"/>
  <c r="L18" i="13"/>
  <c r="L14" i="13"/>
  <c r="L17" i="13"/>
  <c r="L13" i="13"/>
  <c r="L19" i="13"/>
  <c r="L15" i="13"/>
  <c r="J13" i="13"/>
  <c r="L21" i="13"/>
  <c r="L16" i="13"/>
  <c r="L20" i="13"/>
  <c r="M13" i="13"/>
  <c r="M21" i="13"/>
  <c r="J15" i="13"/>
  <c r="N14" i="13"/>
  <c r="N19" i="13"/>
  <c r="N18" i="13"/>
  <c r="N17" i="13"/>
  <c r="N16" i="13"/>
  <c r="N13" i="13"/>
  <c r="N20" i="13"/>
  <c r="N15" i="13"/>
  <c r="N21" i="13"/>
  <c r="L18" i="12"/>
  <c r="L14" i="12"/>
  <c r="O14" i="12" s="1"/>
  <c r="P14" i="12" s="1"/>
  <c r="L21" i="12"/>
  <c r="L17" i="12"/>
  <c r="L19" i="12"/>
  <c r="L15" i="12"/>
  <c r="J13" i="12"/>
  <c r="L13" i="12"/>
  <c r="L16" i="12"/>
  <c r="L20" i="12"/>
  <c r="N21" i="12"/>
  <c r="N17" i="12"/>
  <c r="N13" i="12"/>
  <c r="N18" i="12"/>
  <c r="J15" i="12"/>
  <c r="N16" i="12"/>
  <c r="N14" i="12"/>
  <c r="N19" i="12"/>
  <c r="N15" i="12"/>
  <c r="N20" i="12"/>
  <c r="M18" i="12"/>
  <c r="M21" i="12"/>
  <c r="M17" i="12"/>
  <c r="J14" i="12"/>
  <c r="M19" i="12"/>
  <c r="M14" i="12"/>
  <c r="M16" i="12"/>
  <c r="M13" i="12"/>
  <c r="M20" i="12"/>
  <c r="M15" i="12"/>
  <c r="Q20" i="11"/>
  <c r="C32" i="11"/>
  <c r="Q19" i="11"/>
  <c r="C31" i="11"/>
  <c r="Q18" i="11"/>
  <c r="C30" i="11"/>
  <c r="Q14" i="11"/>
  <c r="C26" i="11"/>
  <c r="O15" i="11"/>
  <c r="P15" i="11" s="1"/>
  <c r="O13" i="11"/>
  <c r="P13" i="11" s="1"/>
  <c r="O16" i="11"/>
  <c r="P16" i="11" s="1"/>
  <c r="O17" i="11"/>
  <c r="P17" i="11" s="1"/>
  <c r="O21" i="11"/>
  <c r="P21" i="11" s="1"/>
  <c r="D18" i="8"/>
  <c r="E18" i="8"/>
  <c r="G18" i="8"/>
  <c r="Q18" i="8"/>
  <c r="F18" i="8"/>
  <c r="G18" i="7"/>
  <c r="I12" i="7" s="1"/>
  <c r="F18" i="7"/>
  <c r="H12" i="7" s="1"/>
  <c r="D18" i="7"/>
  <c r="H11" i="7" s="1"/>
  <c r="E18" i="7"/>
  <c r="I11" i="7" s="1"/>
  <c r="I15" i="24" l="1"/>
  <c r="I18" i="24"/>
  <c r="I20" i="24"/>
  <c r="I19" i="24"/>
  <c r="I17" i="24"/>
  <c r="I22" i="24"/>
  <c r="I21" i="24"/>
  <c r="I14" i="24"/>
  <c r="I16" i="24"/>
  <c r="H20" i="24"/>
  <c r="H14" i="24"/>
  <c r="H17" i="24"/>
  <c r="J17" i="24" s="1"/>
  <c r="C29" i="24" s="1"/>
  <c r="H16" i="24"/>
  <c r="H21" i="24"/>
  <c r="H15" i="24"/>
  <c r="J15" i="24" s="1"/>
  <c r="H19" i="24"/>
  <c r="H18" i="24"/>
  <c r="H22" i="24"/>
  <c r="J20" i="23"/>
  <c r="J15" i="23"/>
  <c r="J16" i="23"/>
  <c r="K16" i="23" s="1"/>
  <c r="J14" i="23"/>
  <c r="C32" i="23"/>
  <c r="K20" i="23"/>
  <c r="J17" i="23"/>
  <c r="J21" i="23"/>
  <c r="J19" i="23"/>
  <c r="J18" i="23"/>
  <c r="C27" i="23"/>
  <c r="K15" i="23"/>
  <c r="J22" i="23"/>
  <c r="L16" i="22"/>
  <c r="M16" i="22" s="1"/>
  <c r="L15" i="22"/>
  <c r="L21" i="22"/>
  <c r="C33" i="22" s="1"/>
  <c r="G33" i="22" s="1"/>
  <c r="R33" i="22" s="1"/>
  <c r="L13" i="22"/>
  <c r="C25" i="22" s="1"/>
  <c r="E25" i="22" s="1"/>
  <c r="L17" i="22"/>
  <c r="C29" i="22" s="1"/>
  <c r="G29" i="22" s="1"/>
  <c r="R29" i="22" s="1"/>
  <c r="L18" i="22"/>
  <c r="C30" i="22" s="1"/>
  <c r="L20" i="22"/>
  <c r="M14" i="22"/>
  <c r="C31" i="22"/>
  <c r="M19" i="22"/>
  <c r="C27" i="22"/>
  <c r="M15" i="22"/>
  <c r="C32" i="22"/>
  <c r="M20" i="22"/>
  <c r="D29" i="22"/>
  <c r="O29" i="22" s="1"/>
  <c r="F29" i="22"/>
  <c r="Q29" i="22" s="1"/>
  <c r="G26" i="22"/>
  <c r="R26" i="22" s="1"/>
  <c r="F26" i="22"/>
  <c r="Q26" i="22" s="1"/>
  <c r="D26" i="22"/>
  <c r="O26" i="22" s="1"/>
  <c r="E26" i="22"/>
  <c r="P26" i="22" s="1"/>
  <c r="L16" i="21"/>
  <c r="C28" i="21" s="1"/>
  <c r="L20" i="21"/>
  <c r="C32" i="21" s="1"/>
  <c r="G32" i="21" s="1"/>
  <c r="R32" i="21" s="1"/>
  <c r="L18" i="21"/>
  <c r="C30" i="21" s="1"/>
  <c r="L21" i="21"/>
  <c r="C33" i="21" s="1"/>
  <c r="F33" i="21" s="1"/>
  <c r="Q33" i="21" s="1"/>
  <c r="L17" i="21"/>
  <c r="C29" i="21" s="1"/>
  <c r="G29" i="21" s="1"/>
  <c r="R29" i="21" s="1"/>
  <c r="L14" i="21"/>
  <c r="C26" i="21" s="1"/>
  <c r="L15" i="21"/>
  <c r="C27" i="21" s="1"/>
  <c r="G27" i="21" s="1"/>
  <c r="R27" i="21" s="1"/>
  <c r="L19" i="21"/>
  <c r="M19" i="21" s="1"/>
  <c r="L13" i="21"/>
  <c r="M13" i="21" s="1"/>
  <c r="F22" i="20"/>
  <c r="K18" i="20" s="1"/>
  <c r="V13" i="20"/>
  <c r="E22" i="20"/>
  <c r="T13" i="20" s="1"/>
  <c r="D22" i="20"/>
  <c r="S13" i="20" s="1"/>
  <c r="J13" i="18"/>
  <c r="L17" i="18"/>
  <c r="J14" i="18"/>
  <c r="N15" i="18"/>
  <c r="AC13" i="18"/>
  <c r="N21" i="18"/>
  <c r="N20" i="18"/>
  <c r="AD13" i="18"/>
  <c r="L13" i="18"/>
  <c r="N18" i="18"/>
  <c r="K15" i="18"/>
  <c r="N16" i="18"/>
  <c r="N14" i="18"/>
  <c r="N17" i="18"/>
  <c r="N19" i="18"/>
  <c r="M16" i="18"/>
  <c r="M20" i="18"/>
  <c r="L15" i="18"/>
  <c r="L19" i="18"/>
  <c r="L20" i="18"/>
  <c r="L16" i="18"/>
  <c r="L21" i="18"/>
  <c r="Z13" i="18"/>
  <c r="K13" i="18"/>
  <c r="L18" i="18"/>
  <c r="O18" i="18" s="1"/>
  <c r="P18" i="18" s="1"/>
  <c r="C30" i="18" s="1"/>
  <c r="L14" i="18"/>
  <c r="M13" i="18"/>
  <c r="M15" i="18"/>
  <c r="M19" i="18"/>
  <c r="M18" i="18"/>
  <c r="M17" i="18"/>
  <c r="M14" i="18"/>
  <c r="AB13" i="18"/>
  <c r="M21" i="18"/>
  <c r="G22" i="17"/>
  <c r="K14" i="17" s="1"/>
  <c r="H22" i="17"/>
  <c r="AC13" i="17" s="1"/>
  <c r="I22" i="17"/>
  <c r="K15" i="17" s="1"/>
  <c r="F22" i="17"/>
  <c r="S19" i="17"/>
  <c r="D22" i="17"/>
  <c r="E22" i="17"/>
  <c r="C33" i="16"/>
  <c r="Q21" i="16"/>
  <c r="C31" i="16"/>
  <c r="Q19" i="16"/>
  <c r="C25" i="16"/>
  <c r="Q13" i="16"/>
  <c r="C27" i="16"/>
  <c r="Q15" i="16"/>
  <c r="C29" i="16"/>
  <c r="Q17" i="16"/>
  <c r="C26" i="16"/>
  <c r="Q14" i="16"/>
  <c r="I32" i="16"/>
  <c r="H32" i="16"/>
  <c r="G32" i="16"/>
  <c r="F32" i="16"/>
  <c r="E32" i="16"/>
  <c r="D32" i="16"/>
  <c r="C30" i="16"/>
  <c r="Q18" i="16"/>
  <c r="C28" i="16"/>
  <c r="Q16" i="16"/>
  <c r="C26" i="15"/>
  <c r="Q14" i="15"/>
  <c r="O18" i="15"/>
  <c r="P18" i="15" s="1"/>
  <c r="O17" i="15"/>
  <c r="P17" i="15" s="1"/>
  <c r="O13" i="15"/>
  <c r="P13" i="15" s="1"/>
  <c r="C33" i="15"/>
  <c r="Q21" i="15"/>
  <c r="O20" i="15"/>
  <c r="P20" i="15" s="1"/>
  <c r="O16" i="15"/>
  <c r="P16" i="15" s="1"/>
  <c r="C27" i="15"/>
  <c r="Q15" i="15"/>
  <c r="O19" i="15"/>
  <c r="P19" i="15" s="1"/>
  <c r="L13" i="14"/>
  <c r="L18" i="14"/>
  <c r="M19" i="14"/>
  <c r="L16" i="14"/>
  <c r="J13" i="14"/>
  <c r="L19" i="14"/>
  <c r="J14" i="14"/>
  <c r="L20" i="14"/>
  <c r="L17" i="14"/>
  <c r="L15" i="14"/>
  <c r="L14" i="14"/>
  <c r="L21" i="14"/>
  <c r="N20" i="14"/>
  <c r="N19" i="14"/>
  <c r="M13" i="14"/>
  <c r="N16" i="14"/>
  <c r="M21" i="14"/>
  <c r="M18" i="14"/>
  <c r="N21" i="14"/>
  <c r="N17" i="14"/>
  <c r="N15" i="14"/>
  <c r="M16" i="14"/>
  <c r="N13" i="14"/>
  <c r="M17" i="14"/>
  <c r="M15" i="14"/>
  <c r="M14" i="14"/>
  <c r="M20" i="14"/>
  <c r="N18" i="14"/>
  <c r="N14" i="14"/>
  <c r="O19" i="13"/>
  <c r="P19" i="13" s="1"/>
  <c r="C31" i="13" s="1"/>
  <c r="O13" i="13"/>
  <c r="P13" i="13" s="1"/>
  <c r="C25" i="13" s="1"/>
  <c r="O14" i="13"/>
  <c r="P14" i="13" s="1"/>
  <c r="C26" i="13" s="1"/>
  <c r="O20" i="13"/>
  <c r="P20" i="13" s="1"/>
  <c r="C32" i="13" s="1"/>
  <c r="O18" i="13"/>
  <c r="P18" i="13" s="1"/>
  <c r="O16" i="13"/>
  <c r="P16" i="13" s="1"/>
  <c r="O21" i="13"/>
  <c r="P21" i="13" s="1"/>
  <c r="O17" i="13"/>
  <c r="P17" i="13" s="1"/>
  <c r="O15" i="13"/>
  <c r="P15" i="13" s="1"/>
  <c r="O18" i="12"/>
  <c r="P18" i="12" s="1"/>
  <c r="O20" i="12"/>
  <c r="P20" i="12" s="1"/>
  <c r="O16" i="12"/>
  <c r="P16" i="12" s="1"/>
  <c r="O13" i="12"/>
  <c r="P13" i="12" s="1"/>
  <c r="C26" i="12"/>
  <c r="Q14" i="12"/>
  <c r="O15" i="12"/>
  <c r="P15" i="12" s="1"/>
  <c r="O19" i="12"/>
  <c r="P19" i="12" s="1"/>
  <c r="O17" i="12"/>
  <c r="P17" i="12" s="1"/>
  <c r="O21" i="12"/>
  <c r="P21" i="12" s="1"/>
  <c r="D31" i="11"/>
  <c r="F31" i="11"/>
  <c r="E31" i="11"/>
  <c r="I31" i="11"/>
  <c r="G31" i="11"/>
  <c r="H31" i="11"/>
  <c r="Q31" i="11"/>
  <c r="G32" i="11"/>
  <c r="I32" i="11"/>
  <c r="H32" i="11"/>
  <c r="F32" i="11"/>
  <c r="D32" i="11"/>
  <c r="E32" i="11"/>
  <c r="Q32" i="11"/>
  <c r="Q17" i="11"/>
  <c r="C29" i="11"/>
  <c r="Q16" i="11"/>
  <c r="C28" i="11"/>
  <c r="Q21" i="11"/>
  <c r="C33" i="11"/>
  <c r="G30" i="11"/>
  <c r="F30" i="11"/>
  <c r="E30" i="11"/>
  <c r="D30" i="11"/>
  <c r="I30" i="11"/>
  <c r="H30" i="11"/>
  <c r="Q30" i="11"/>
  <c r="Q15" i="11"/>
  <c r="Q22" i="11" s="1"/>
  <c r="C27" i="11"/>
  <c r="I26" i="11"/>
  <c r="G26" i="11"/>
  <c r="F26" i="11"/>
  <c r="H26" i="11"/>
  <c r="E26" i="11"/>
  <c r="D26" i="11"/>
  <c r="Q26" i="11"/>
  <c r="Q13" i="11"/>
  <c r="C25" i="11"/>
  <c r="J22" i="24" l="1"/>
  <c r="J19" i="24"/>
  <c r="C31" i="24" s="1"/>
  <c r="E31" i="24" s="1"/>
  <c r="N31" i="24" s="1"/>
  <c r="J14" i="24"/>
  <c r="C26" i="24" s="1"/>
  <c r="J20" i="24"/>
  <c r="C32" i="24" s="1"/>
  <c r="G32" i="24" s="1"/>
  <c r="P32" i="24" s="1"/>
  <c r="J18" i="24"/>
  <c r="K18" i="24" s="1"/>
  <c r="K14" i="24"/>
  <c r="K17" i="24"/>
  <c r="C34" i="24"/>
  <c r="K22" i="24"/>
  <c r="C30" i="24"/>
  <c r="C27" i="24"/>
  <c r="K15" i="24"/>
  <c r="J21" i="24"/>
  <c r="J16" i="24"/>
  <c r="F29" i="24"/>
  <c r="O29" i="24" s="1"/>
  <c r="E29" i="24"/>
  <c r="N29" i="24" s="1"/>
  <c r="D29" i="24"/>
  <c r="M29" i="24" s="1"/>
  <c r="G29" i="24"/>
  <c r="P29" i="24" s="1"/>
  <c r="D31" i="24"/>
  <c r="M31" i="24" s="1"/>
  <c r="G31" i="24"/>
  <c r="P31" i="24" s="1"/>
  <c r="C28" i="23"/>
  <c r="C34" i="23"/>
  <c r="K22" i="23"/>
  <c r="D28" i="23"/>
  <c r="M28" i="23" s="1"/>
  <c r="G28" i="23"/>
  <c r="P28" i="23" s="1"/>
  <c r="F28" i="23"/>
  <c r="O28" i="23" s="1"/>
  <c r="E28" i="23"/>
  <c r="N28" i="23" s="1"/>
  <c r="C31" i="23"/>
  <c r="K19" i="23"/>
  <c r="C26" i="23"/>
  <c r="K14" i="23"/>
  <c r="C30" i="23"/>
  <c r="K18" i="23"/>
  <c r="C33" i="23"/>
  <c r="K21" i="23"/>
  <c r="D32" i="23"/>
  <c r="M32" i="23" s="1"/>
  <c r="G32" i="23"/>
  <c r="P32" i="23" s="1"/>
  <c r="F32" i="23"/>
  <c r="O32" i="23" s="1"/>
  <c r="E32" i="23"/>
  <c r="N32" i="23" s="1"/>
  <c r="G27" i="23"/>
  <c r="P27" i="23" s="1"/>
  <c r="F27" i="23"/>
  <c r="O27" i="23" s="1"/>
  <c r="E27" i="23"/>
  <c r="N27" i="23" s="1"/>
  <c r="D27" i="23"/>
  <c r="M27" i="23" s="1"/>
  <c r="C29" i="23"/>
  <c r="K17" i="23"/>
  <c r="F33" i="22"/>
  <c r="Q33" i="22" s="1"/>
  <c r="E33" i="22"/>
  <c r="P33" i="22" s="1"/>
  <c r="F25" i="22"/>
  <c r="Q25" i="22" s="1"/>
  <c r="G25" i="22"/>
  <c r="R25" i="22" s="1"/>
  <c r="C28" i="22"/>
  <c r="E29" i="22"/>
  <c r="P29" i="22" s="1"/>
  <c r="D25" i="22"/>
  <c r="D33" i="22"/>
  <c r="O33" i="22" s="1"/>
  <c r="M17" i="22"/>
  <c r="M13" i="22"/>
  <c r="M22" i="22" s="1"/>
  <c r="M18" i="22"/>
  <c r="M21" i="22"/>
  <c r="F30" i="22"/>
  <c r="Q30" i="22" s="1"/>
  <c r="D30" i="22"/>
  <c r="O30" i="22" s="1"/>
  <c r="E30" i="22"/>
  <c r="P30" i="22" s="1"/>
  <c r="G30" i="22"/>
  <c r="R30" i="22" s="1"/>
  <c r="G27" i="22"/>
  <c r="R27" i="22" s="1"/>
  <c r="F27" i="22"/>
  <c r="Q27" i="22" s="1"/>
  <c r="E27" i="22"/>
  <c r="P27" i="22" s="1"/>
  <c r="D27" i="22"/>
  <c r="O27" i="22" s="1"/>
  <c r="E28" i="22"/>
  <c r="P28" i="22" s="1"/>
  <c r="F28" i="22"/>
  <c r="Q28" i="22" s="1"/>
  <c r="D28" i="22"/>
  <c r="O28" i="22" s="1"/>
  <c r="G28" i="22"/>
  <c r="R28" i="22" s="1"/>
  <c r="E32" i="22"/>
  <c r="P32" i="22" s="1"/>
  <c r="D32" i="22"/>
  <c r="O32" i="22" s="1"/>
  <c r="G32" i="22"/>
  <c r="R32" i="22" s="1"/>
  <c r="F32" i="22"/>
  <c r="Q32" i="22" s="1"/>
  <c r="O25" i="22"/>
  <c r="P25" i="22"/>
  <c r="G31" i="22"/>
  <c r="R31" i="22" s="1"/>
  <c r="F31" i="22"/>
  <c r="Q31" i="22" s="1"/>
  <c r="E31" i="22"/>
  <c r="P31" i="22" s="1"/>
  <c r="D31" i="22"/>
  <c r="O31" i="22" s="1"/>
  <c r="E32" i="21"/>
  <c r="P32" i="21" s="1"/>
  <c r="M16" i="21"/>
  <c r="M20" i="21"/>
  <c r="C31" i="21"/>
  <c r="D31" i="21" s="1"/>
  <c r="O31" i="21" s="1"/>
  <c r="F32" i="21"/>
  <c r="Q32" i="21" s="1"/>
  <c r="D32" i="21"/>
  <c r="O32" i="21" s="1"/>
  <c r="E29" i="21"/>
  <c r="P29" i="21" s="1"/>
  <c r="M17" i="21"/>
  <c r="G33" i="21"/>
  <c r="R33" i="21" s="1"/>
  <c r="M21" i="21"/>
  <c r="M18" i="21"/>
  <c r="D29" i="21"/>
  <c r="O29" i="21" s="1"/>
  <c r="F29" i="21"/>
  <c r="Q29" i="21" s="1"/>
  <c r="M15" i="21"/>
  <c r="D33" i="21"/>
  <c r="O33" i="21" s="1"/>
  <c r="E33" i="21"/>
  <c r="P33" i="21" s="1"/>
  <c r="M14" i="21"/>
  <c r="C25" i="21"/>
  <c r="G25" i="21" s="1"/>
  <c r="R25" i="21" s="1"/>
  <c r="F27" i="21"/>
  <c r="Q27" i="21" s="1"/>
  <c r="D27" i="21"/>
  <c r="O27" i="21" s="1"/>
  <c r="E27" i="21"/>
  <c r="P27" i="21" s="1"/>
  <c r="F26" i="21"/>
  <c r="Q26" i="21" s="1"/>
  <c r="G26" i="21"/>
  <c r="R26" i="21" s="1"/>
  <c r="E26" i="21"/>
  <c r="P26" i="21" s="1"/>
  <c r="D26" i="21"/>
  <c r="O26" i="21" s="1"/>
  <c r="G30" i="21"/>
  <c r="R30" i="21" s="1"/>
  <c r="D30" i="21"/>
  <c r="O30" i="21" s="1"/>
  <c r="F30" i="21"/>
  <c r="Q30" i="21" s="1"/>
  <c r="E30" i="21"/>
  <c r="P30" i="21" s="1"/>
  <c r="E28" i="21"/>
  <c r="P28" i="21" s="1"/>
  <c r="G28" i="21"/>
  <c r="R28" i="21" s="1"/>
  <c r="D28" i="21"/>
  <c r="O28" i="21" s="1"/>
  <c r="F28" i="21"/>
  <c r="Q28" i="21" s="1"/>
  <c r="K17" i="20"/>
  <c r="U13" i="20"/>
  <c r="K21" i="20"/>
  <c r="K19" i="20"/>
  <c r="K13" i="20"/>
  <c r="K14" i="20"/>
  <c r="K16" i="20"/>
  <c r="K20" i="20"/>
  <c r="J15" i="20"/>
  <c r="H14" i="20"/>
  <c r="K15" i="20"/>
  <c r="J17" i="20"/>
  <c r="J14" i="20"/>
  <c r="J19" i="20"/>
  <c r="H13" i="20"/>
  <c r="I13" i="20"/>
  <c r="J16" i="20"/>
  <c r="J18" i="20"/>
  <c r="L18" i="20" s="1"/>
  <c r="C30" i="20" s="1"/>
  <c r="J20" i="20"/>
  <c r="J13" i="20"/>
  <c r="J21" i="20"/>
  <c r="O21" i="18"/>
  <c r="P21" i="18" s="1"/>
  <c r="Q21" i="18" s="1"/>
  <c r="O16" i="18"/>
  <c r="P16" i="18" s="1"/>
  <c r="C28" i="18" s="1"/>
  <c r="O17" i="18"/>
  <c r="P17" i="18" s="1"/>
  <c r="C29" i="18" s="1"/>
  <c r="O20" i="18"/>
  <c r="P20" i="18" s="1"/>
  <c r="C32" i="18" s="1"/>
  <c r="O13" i="18"/>
  <c r="P13" i="18" s="1"/>
  <c r="Q13" i="18" s="1"/>
  <c r="O14" i="18"/>
  <c r="P14" i="18" s="1"/>
  <c r="C26" i="18" s="1"/>
  <c r="O15" i="18"/>
  <c r="P15" i="18" s="1"/>
  <c r="C27" i="18" s="1"/>
  <c r="E27" i="18" s="1"/>
  <c r="T27" i="18" s="1"/>
  <c r="O19" i="18"/>
  <c r="P19" i="18" s="1"/>
  <c r="Q19" i="18" s="1"/>
  <c r="Q18" i="18"/>
  <c r="I30" i="18"/>
  <c r="X30" i="18" s="1"/>
  <c r="H30" i="18"/>
  <c r="W30" i="18" s="1"/>
  <c r="G30" i="18"/>
  <c r="V30" i="18" s="1"/>
  <c r="F30" i="18"/>
  <c r="U30" i="18" s="1"/>
  <c r="E30" i="18"/>
  <c r="T30" i="18" s="1"/>
  <c r="D30" i="18"/>
  <c r="S30" i="18" s="1"/>
  <c r="AB13" i="17"/>
  <c r="M18" i="17"/>
  <c r="M13" i="17"/>
  <c r="M16" i="17"/>
  <c r="M19" i="17"/>
  <c r="M20" i="17"/>
  <c r="J14" i="17"/>
  <c r="M15" i="17"/>
  <c r="M14" i="17"/>
  <c r="AD13" i="17"/>
  <c r="AA13" i="17"/>
  <c r="M21" i="17"/>
  <c r="N17" i="17"/>
  <c r="N13" i="17"/>
  <c r="N15" i="17"/>
  <c r="N18" i="17"/>
  <c r="J15" i="17"/>
  <c r="N14" i="17"/>
  <c r="N19" i="17"/>
  <c r="N21" i="17"/>
  <c r="N20" i="17"/>
  <c r="N16" i="17"/>
  <c r="L14" i="17"/>
  <c r="L21" i="17"/>
  <c r="Y13" i="17"/>
  <c r="L17" i="17"/>
  <c r="L20" i="17"/>
  <c r="L19" i="17"/>
  <c r="J13" i="17"/>
  <c r="L13" i="17"/>
  <c r="L15" i="17"/>
  <c r="L16" i="17"/>
  <c r="L18" i="17"/>
  <c r="M17" i="17"/>
  <c r="K13" i="17"/>
  <c r="Z13" i="17"/>
  <c r="I26" i="16"/>
  <c r="H26" i="16"/>
  <c r="G26" i="16"/>
  <c r="F26" i="16"/>
  <c r="E26" i="16"/>
  <c r="D26" i="16"/>
  <c r="I29" i="16"/>
  <c r="H29" i="16"/>
  <c r="G29" i="16"/>
  <c r="F29" i="16"/>
  <c r="E29" i="16"/>
  <c r="D29" i="16"/>
  <c r="G30" i="16"/>
  <c r="F30" i="16"/>
  <c r="E30" i="16"/>
  <c r="D30" i="16"/>
  <c r="H30" i="16"/>
  <c r="I30" i="16"/>
  <c r="I28" i="16"/>
  <c r="H28" i="16"/>
  <c r="G28" i="16"/>
  <c r="F28" i="16"/>
  <c r="E28" i="16"/>
  <c r="D28" i="16"/>
  <c r="F27" i="16"/>
  <c r="E27" i="16"/>
  <c r="D27" i="16"/>
  <c r="G27" i="16"/>
  <c r="I27" i="16"/>
  <c r="H27" i="16"/>
  <c r="Q22" i="16"/>
  <c r="D25" i="16"/>
  <c r="I25" i="16"/>
  <c r="H25" i="16"/>
  <c r="G25" i="16"/>
  <c r="F25" i="16"/>
  <c r="F34" i="16" s="1"/>
  <c r="E25" i="16"/>
  <c r="D31" i="16"/>
  <c r="E31" i="16"/>
  <c r="I31" i="16"/>
  <c r="H31" i="16"/>
  <c r="G31" i="16"/>
  <c r="F31" i="16"/>
  <c r="I33" i="16"/>
  <c r="H33" i="16"/>
  <c r="G33" i="16"/>
  <c r="F33" i="16"/>
  <c r="E33" i="16"/>
  <c r="D33" i="16"/>
  <c r="C31" i="15"/>
  <c r="Q19" i="15"/>
  <c r="F27" i="15"/>
  <c r="E27" i="15"/>
  <c r="D27" i="15"/>
  <c r="G27" i="15"/>
  <c r="I27" i="15"/>
  <c r="H27" i="15"/>
  <c r="I26" i="15"/>
  <c r="H26" i="15"/>
  <c r="G26" i="15"/>
  <c r="F26" i="15"/>
  <c r="E26" i="15"/>
  <c r="D26" i="15"/>
  <c r="C28" i="15"/>
  <c r="Q16" i="15"/>
  <c r="I33" i="15"/>
  <c r="H33" i="15"/>
  <c r="G33" i="15"/>
  <c r="F33" i="15"/>
  <c r="E33" i="15"/>
  <c r="D33" i="15"/>
  <c r="C32" i="15"/>
  <c r="Q20" i="15"/>
  <c r="C29" i="15"/>
  <c r="Q17" i="15"/>
  <c r="C25" i="15"/>
  <c r="Q13" i="15"/>
  <c r="C30" i="15"/>
  <c r="Q18" i="15"/>
  <c r="O17" i="14"/>
  <c r="P17" i="14" s="1"/>
  <c r="C29" i="14" s="1"/>
  <c r="D29" i="14" s="1"/>
  <c r="O21" i="14"/>
  <c r="P21" i="14" s="1"/>
  <c r="C33" i="14" s="1"/>
  <c r="O18" i="14"/>
  <c r="P18" i="14" s="1"/>
  <c r="Q18" i="14" s="1"/>
  <c r="O15" i="14"/>
  <c r="P15" i="14" s="1"/>
  <c r="C27" i="14" s="1"/>
  <c r="O13" i="14"/>
  <c r="P13" i="14" s="1"/>
  <c r="C25" i="14" s="1"/>
  <c r="E25" i="14" s="1"/>
  <c r="O16" i="14"/>
  <c r="P16" i="14" s="1"/>
  <c r="C28" i="14" s="1"/>
  <c r="O19" i="14"/>
  <c r="P19" i="14" s="1"/>
  <c r="C31" i="14" s="1"/>
  <c r="D31" i="14" s="1"/>
  <c r="O14" i="14"/>
  <c r="P14" i="14" s="1"/>
  <c r="Q14" i="14" s="1"/>
  <c r="O20" i="14"/>
  <c r="P20" i="14" s="1"/>
  <c r="C32" i="14" s="1"/>
  <c r="H32" i="14" s="1"/>
  <c r="Q20" i="13"/>
  <c r="Q14" i="13"/>
  <c r="Q13" i="13"/>
  <c r="Q19" i="13"/>
  <c r="C29" i="13"/>
  <c r="Q17" i="13"/>
  <c r="D25" i="13"/>
  <c r="E25" i="13"/>
  <c r="I25" i="13"/>
  <c r="H25" i="13"/>
  <c r="G25" i="13"/>
  <c r="F25" i="13"/>
  <c r="I26" i="13"/>
  <c r="H26" i="13"/>
  <c r="G26" i="13"/>
  <c r="F26" i="13"/>
  <c r="E26" i="13"/>
  <c r="D26" i="13"/>
  <c r="C33" i="13"/>
  <c r="Q21" i="13"/>
  <c r="C30" i="13"/>
  <c r="Q18" i="13"/>
  <c r="C28" i="13"/>
  <c r="Q16" i="13"/>
  <c r="I32" i="13"/>
  <c r="H32" i="13"/>
  <c r="G32" i="13"/>
  <c r="F32" i="13"/>
  <c r="E32" i="13"/>
  <c r="D32" i="13"/>
  <c r="C27" i="13"/>
  <c r="Q15" i="13"/>
  <c r="D31" i="13"/>
  <c r="E31" i="13"/>
  <c r="I31" i="13"/>
  <c r="H31" i="13"/>
  <c r="G31" i="13"/>
  <c r="F31" i="13"/>
  <c r="C31" i="12"/>
  <c r="Q19" i="12"/>
  <c r="C27" i="12"/>
  <c r="Q15" i="12"/>
  <c r="C33" i="12"/>
  <c r="Q21" i="12"/>
  <c r="C25" i="12"/>
  <c r="Q13" i="12"/>
  <c r="C28" i="12"/>
  <c r="Q16" i="12"/>
  <c r="I26" i="12"/>
  <c r="H26" i="12"/>
  <c r="G26" i="12"/>
  <c r="F26" i="12"/>
  <c r="E26" i="12"/>
  <c r="D26" i="12"/>
  <c r="C32" i="12"/>
  <c r="Q20" i="12"/>
  <c r="C29" i="12"/>
  <c r="Q17" i="12"/>
  <c r="C30" i="12"/>
  <c r="Q18" i="12"/>
  <c r="H29" i="11"/>
  <c r="I29" i="11"/>
  <c r="G29" i="11"/>
  <c r="F29" i="11"/>
  <c r="E29" i="11"/>
  <c r="Q29" i="11"/>
  <c r="D29" i="11"/>
  <c r="G28" i="11"/>
  <c r="H28" i="11"/>
  <c r="I28" i="11"/>
  <c r="F28" i="11"/>
  <c r="D28" i="11"/>
  <c r="E28" i="11"/>
  <c r="Q28" i="11"/>
  <c r="H33" i="11"/>
  <c r="G33" i="11"/>
  <c r="F33" i="11"/>
  <c r="E33" i="11"/>
  <c r="I33" i="11"/>
  <c r="Q33" i="11"/>
  <c r="D33" i="11"/>
  <c r="D27" i="11"/>
  <c r="G27" i="11"/>
  <c r="F27" i="11"/>
  <c r="E27" i="11"/>
  <c r="I27" i="11"/>
  <c r="H27" i="11"/>
  <c r="Q27" i="11"/>
  <c r="D25" i="11"/>
  <c r="G25" i="11"/>
  <c r="I25" i="11"/>
  <c r="E25" i="11"/>
  <c r="E34" i="11" s="1"/>
  <c r="K25" i="11" s="1"/>
  <c r="H25" i="11"/>
  <c r="F25" i="11"/>
  <c r="F31" i="24" l="1"/>
  <c r="O31" i="24" s="1"/>
  <c r="K19" i="24"/>
  <c r="E32" i="24"/>
  <c r="N32" i="24" s="1"/>
  <c r="D32" i="24"/>
  <c r="M32" i="24" s="1"/>
  <c r="K20" i="24"/>
  <c r="F32" i="24"/>
  <c r="O32" i="24" s="1"/>
  <c r="C33" i="24"/>
  <c r="K21" i="24"/>
  <c r="G27" i="24"/>
  <c r="P27" i="24" s="1"/>
  <c r="D27" i="24"/>
  <c r="M27" i="24" s="1"/>
  <c r="E27" i="24"/>
  <c r="N27" i="24" s="1"/>
  <c r="F27" i="24"/>
  <c r="O27" i="24" s="1"/>
  <c r="C28" i="24"/>
  <c r="K16" i="24"/>
  <c r="E30" i="24"/>
  <c r="N30" i="24" s="1"/>
  <c r="D30" i="24"/>
  <c r="M30" i="24" s="1"/>
  <c r="F30" i="24"/>
  <c r="O30" i="24" s="1"/>
  <c r="G30" i="24"/>
  <c r="P30" i="24" s="1"/>
  <c r="G34" i="24"/>
  <c r="P34" i="24" s="1"/>
  <c r="E34" i="24"/>
  <c r="N34" i="24" s="1"/>
  <c r="D34" i="24"/>
  <c r="M34" i="24" s="1"/>
  <c r="F34" i="24"/>
  <c r="O34" i="24" s="1"/>
  <c r="D26" i="24"/>
  <c r="M26" i="24" s="1"/>
  <c r="F26" i="24"/>
  <c r="E26" i="24"/>
  <c r="N26" i="24" s="1"/>
  <c r="G26" i="24"/>
  <c r="P26" i="24" s="1"/>
  <c r="G30" i="23"/>
  <c r="P30" i="23" s="1"/>
  <c r="D30" i="23"/>
  <c r="M30" i="23" s="1"/>
  <c r="F30" i="23"/>
  <c r="O30" i="23" s="1"/>
  <c r="E30" i="23"/>
  <c r="N30" i="23" s="1"/>
  <c r="G34" i="23"/>
  <c r="P34" i="23" s="1"/>
  <c r="D34" i="23"/>
  <c r="M34" i="23" s="1"/>
  <c r="E34" i="23"/>
  <c r="N34" i="23" s="1"/>
  <c r="F34" i="23"/>
  <c r="O34" i="23" s="1"/>
  <c r="K23" i="23"/>
  <c r="F26" i="23"/>
  <c r="D26" i="23"/>
  <c r="E26" i="23"/>
  <c r="G26" i="23"/>
  <c r="G31" i="23"/>
  <c r="P31" i="23" s="1"/>
  <c r="E31" i="23"/>
  <c r="N31" i="23" s="1"/>
  <c r="D31" i="23"/>
  <c r="M31" i="23" s="1"/>
  <c r="F31" i="23"/>
  <c r="O31" i="23" s="1"/>
  <c r="G29" i="23"/>
  <c r="P29" i="23" s="1"/>
  <c r="F29" i="23"/>
  <c r="O29" i="23" s="1"/>
  <c r="E29" i="23"/>
  <c r="N29" i="23" s="1"/>
  <c r="D29" i="23"/>
  <c r="M29" i="23" s="1"/>
  <c r="G33" i="23"/>
  <c r="P33" i="23" s="1"/>
  <c r="F33" i="23"/>
  <c r="O33" i="23" s="1"/>
  <c r="E33" i="23"/>
  <c r="N33" i="23" s="1"/>
  <c r="D33" i="23"/>
  <c r="M33" i="23" s="1"/>
  <c r="F34" i="22"/>
  <c r="G34" i="22"/>
  <c r="E34" i="22"/>
  <c r="D34" i="22"/>
  <c r="E31" i="21"/>
  <c r="P31" i="21" s="1"/>
  <c r="F31" i="21"/>
  <c r="Q31" i="21" s="1"/>
  <c r="G31" i="21"/>
  <c r="R31" i="21" s="1"/>
  <c r="M22" i="21"/>
  <c r="E25" i="21"/>
  <c r="P25" i="21" s="1"/>
  <c r="F25" i="21"/>
  <c r="Q25" i="21" s="1"/>
  <c r="D25" i="21"/>
  <c r="O25" i="21" s="1"/>
  <c r="L13" i="20"/>
  <c r="C25" i="20" s="1"/>
  <c r="G25" i="20" s="1"/>
  <c r="L15" i="20"/>
  <c r="M15" i="20" s="1"/>
  <c r="L19" i="20"/>
  <c r="C31" i="20" s="1"/>
  <c r="L14" i="20"/>
  <c r="C26" i="20" s="1"/>
  <c r="E26" i="20" s="1"/>
  <c r="P26" i="20" s="1"/>
  <c r="L21" i="20"/>
  <c r="C33" i="20" s="1"/>
  <c r="E33" i="20" s="1"/>
  <c r="P33" i="20" s="1"/>
  <c r="L17" i="20"/>
  <c r="C29" i="20" s="1"/>
  <c r="G29" i="20" s="1"/>
  <c r="R29" i="20" s="1"/>
  <c r="L20" i="20"/>
  <c r="C32" i="20" s="1"/>
  <c r="E32" i="20" s="1"/>
  <c r="P32" i="20" s="1"/>
  <c r="L16" i="20"/>
  <c r="M16" i="20" s="1"/>
  <c r="M18" i="20"/>
  <c r="G30" i="20"/>
  <c r="R30" i="20" s="1"/>
  <c r="F30" i="20"/>
  <c r="Q30" i="20" s="1"/>
  <c r="E30" i="20"/>
  <c r="P30" i="20" s="1"/>
  <c r="D30" i="20"/>
  <c r="O30" i="20" s="1"/>
  <c r="C33" i="18"/>
  <c r="G33" i="18" s="1"/>
  <c r="V33" i="18" s="1"/>
  <c r="Q17" i="18"/>
  <c r="Q20" i="18"/>
  <c r="Q16" i="18"/>
  <c r="C25" i="18"/>
  <c r="I25" i="18" s="1"/>
  <c r="Q14" i="18"/>
  <c r="C31" i="18"/>
  <c r="F31" i="18" s="1"/>
  <c r="U31" i="18" s="1"/>
  <c r="Q15" i="18"/>
  <c r="H27" i="18"/>
  <c r="W27" i="18" s="1"/>
  <c r="I27" i="18"/>
  <c r="X27" i="18" s="1"/>
  <c r="G27" i="18"/>
  <c r="V27" i="18" s="1"/>
  <c r="D27" i="18"/>
  <c r="S27" i="18" s="1"/>
  <c r="F27" i="18"/>
  <c r="U27" i="18" s="1"/>
  <c r="G32" i="18"/>
  <c r="V32" i="18" s="1"/>
  <c r="F32" i="18"/>
  <c r="U32" i="18" s="1"/>
  <c r="E32" i="18"/>
  <c r="T32" i="18" s="1"/>
  <c r="D32" i="18"/>
  <c r="S32" i="18" s="1"/>
  <c r="H32" i="18"/>
  <c r="W32" i="18" s="1"/>
  <c r="I32" i="18"/>
  <c r="X32" i="18" s="1"/>
  <c r="D25" i="18"/>
  <c r="G28" i="18"/>
  <c r="V28" i="18" s="1"/>
  <c r="F28" i="18"/>
  <c r="U28" i="18" s="1"/>
  <c r="E28" i="18"/>
  <c r="T28" i="18" s="1"/>
  <c r="D28" i="18"/>
  <c r="S28" i="18" s="1"/>
  <c r="H28" i="18"/>
  <c r="W28" i="18" s="1"/>
  <c r="I28" i="18"/>
  <c r="X28" i="18" s="1"/>
  <c r="E26" i="18"/>
  <c r="T26" i="18" s="1"/>
  <c r="D26" i="18"/>
  <c r="S26" i="18" s="1"/>
  <c r="I26" i="18"/>
  <c r="X26" i="18" s="1"/>
  <c r="H26" i="18"/>
  <c r="W26" i="18" s="1"/>
  <c r="F26" i="18"/>
  <c r="U26" i="18" s="1"/>
  <c r="G26" i="18"/>
  <c r="V26" i="18" s="1"/>
  <c r="I29" i="18"/>
  <c r="X29" i="18" s="1"/>
  <c r="H29" i="18"/>
  <c r="W29" i="18" s="1"/>
  <c r="G29" i="18"/>
  <c r="V29" i="18" s="1"/>
  <c r="F29" i="18"/>
  <c r="U29" i="18" s="1"/>
  <c r="E29" i="18"/>
  <c r="T29" i="18" s="1"/>
  <c r="D29" i="18"/>
  <c r="S29" i="18" s="1"/>
  <c r="O13" i="17"/>
  <c r="P13" i="17" s="1"/>
  <c r="C25" i="17" s="1"/>
  <c r="I25" i="17" s="1"/>
  <c r="O18" i="17"/>
  <c r="P18" i="17" s="1"/>
  <c r="C30" i="17" s="1"/>
  <c r="D30" i="17" s="1"/>
  <c r="S30" i="17" s="1"/>
  <c r="O20" i="17"/>
  <c r="P20" i="17" s="1"/>
  <c r="C32" i="17" s="1"/>
  <c r="G32" i="17" s="1"/>
  <c r="V32" i="17" s="1"/>
  <c r="O15" i="17"/>
  <c r="P15" i="17" s="1"/>
  <c r="C27" i="17" s="1"/>
  <c r="H27" i="17" s="1"/>
  <c r="W27" i="17" s="1"/>
  <c r="O16" i="17"/>
  <c r="P16" i="17" s="1"/>
  <c r="Q16" i="17" s="1"/>
  <c r="O14" i="17"/>
  <c r="P14" i="17" s="1"/>
  <c r="C26" i="17" s="1"/>
  <c r="H26" i="17" s="1"/>
  <c r="W26" i="17" s="1"/>
  <c r="O21" i="17"/>
  <c r="P21" i="17" s="1"/>
  <c r="C33" i="17" s="1"/>
  <c r="I33" i="17" s="1"/>
  <c r="X33" i="17" s="1"/>
  <c r="O19" i="17"/>
  <c r="P19" i="17" s="1"/>
  <c r="Q19" i="17" s="1"/>
  <c r="O17" i="17"/>
  <c r="P17" i="17" s="1"/>
  <c r="C29" i="17" s="1"/>
  <c r="H29" i="17" s="1"/>
  <c r="W29" i="17" s="1"/>
  <c r="E34" i="16"/>
  <c r="K25" i="16" s="1"/>
  <c r="J26" i="16"/>
  <c r="G34" i="16"/>
  <c r="K26" i="16" s="1"/>
  <c r="H34" i="16"/>
  <c r="I34" i="16"/>
  <c r="K27" i="16" s="1"/>
  <c r="D34" i="16"/>
  <c r="G30" i="15"/>
  <c r="F30" i="15"/>
  <c r="E30" i="15"/>
  <c r="D30" i="15"/>
  <c r="H30" i="15"/>
  <c r="I30" i="15"/>
  <c r="Q22" i="15"/>
  <c r="D25" i="15"/>
  <c r="I25" i="15"/>
  <c r="E25" i="15"/>
  <c r="E34" i="15" s="1"/>
  <c r="K25" i="15" s="1"/>
  <c r="H25" i="15"/>
  <c r="G25" i="15"/>
  <c r="F25" i="15"/>
  <c r="I28" i="15"/>
  <c r="H28" i="15"/>
  <c r="G28" i="15"/>
  <c r="F28" i="15"/>
  <c r="E28" i="15"/>
  <c r="D28" i="15"/>
  <c r="I29" i="15"/>
  <c r="H29" i="15"/>
  <c r="G29" i="15"/>
  <c r="F29" i="15"/>
  <c r="E29" i="15"/>
  <c r="D29" i="15"/>
  <c r="I32" i="15"/>
  <c r="H32" i="15"/>
  <c r="G32" i="15"/>
  <c r="F32" i="15"/>
  <c r="E32" i="15"/>
  <c r="D32" i="15"/>
  <c r="D31" i="15"/>
  <c r="I31" i="15"/>
  <c r="H31" i="15"/>
  <c r="E31" i="15"/>
  <c r="G31" i="15"/>
  <c r="F31" i="15"/>
  <c r="G29" i="14"/>
  <c r="E29" i="14"/>
  <c r="F29" i="14"/>
  <c r="H29" i="14"/>
  <c r="I29" i="14"/>
  <c r="Q17" i="14"/>
  <c r="C30" i="14"/>
  <c r="E30" i="14" s="1"/>
  <c r="Q21" i="14"/>
  <c r="Q15" i="14"/>
  <c r="F25" i="14"/>
  <c r="D25" i="14"/>
  <c r="G25" i="14"/>
  <c r="I25" i="14"/>
  <c r="H25" i="14"/>
  <c r="Q13" i="14"/>
  <c r="I31" i="14"/>
  <c r="G31" i="14"/>
  <c r="H31" i="14"/>
  <c r="E31" i="14"/>
  <c r="F31" i="14"/>
  <c r="Q19" i="14"/>
  <c r="Q16" i="14"/>
  <c r="D32" i="14"/>
  <c r="E32" i="14"/>
  <c r="F32" i="14"/>
  <c r="I32" i="14"/>
  <c r="C26" i="14"/>
  <c r="H26" i="14" s="1"/>
  <c r="G32" i="14"/>
  <c r="Q20" i="14"/>
  <c r="I28" i="14"/>
  <c r="H28" i="14"/>
  <c r="G28" i="14"/>
  <c r="F28" i="14"/>
  <c r="E28" i="14"/>
  <c r="D28" i="14"/>
  <c r="F27" i="14"/>
  <c r="E27" i="14"/>
  <c r="D27" i="14"/>
  <c r="G27" i="14"/>
  <c r="I27" i="14"/>
  <c r="H27" i="14"/>
  <c r="I33" i="14"/>
  <c r="H33" i="14"/>
  <c r="G33" i="14"/>
  <c r="F33" i="14"/>
  <c r="E33" i="14"/>
  <c r="D33" i="14"/>
  <c r="Q22" i="13"/>
  <c r="I28" i="13"/>
  <c r="H28" i="13"/>
  <c r="G28" i="13"/>
  <c r="F28" i="13"/>
  <c r="E28" i="13"/>
  <c r="D28" i="13"/>
  <c r="G30" i="13"/>
  <c r="F30" i="13"/>
  <c r="E30" i="13"/>
  <c r="D30" i="13"/>
  <c r="I30" i="13"/>
  <c r="H30" i="13"/>
  <c r="F27" i="13"/>
  <c r="E27" i="13"/>
  <c r="D27" i="13"/>
  <c r="I27" i="13"/>
  <c r="G27" i="13"/>
  <c r="H27" i="13"/>
  <c r="I33" i="13"/>
  <c r="H33" i="13"/>
  <c r="G33" i="13"/>
  <c r="F33" i="13"/>
  <c r="E33" i="13"/>
  <c r="D33" i="13"/>
  <c r="I29" i="13"/>
  <c r="H29" i="13"/>
  <c r="G29" i="13"/>
  <c r="F29" i="13"/>
  <c r="E29" i="13"/>
  <c r="D29" i="13"/>
  <c r="Q22" i="12"/>
  <c r="G30" i="12"/>
  <c r="F30" i="12"/>
  <c r="E30" i="12"/>
  <c r="D30" i="12"/>
  <c r="H30" i="12"/>
  <c r="I30" i="12"/>
  <c r="I25" i="12"/>
  <c r="H25" i="12"/>
  <c r="H34" i="12" s="1"/>
  <c r="D25" i="12"/>
  <c r="G25" i="12"/>
  <c r="E25" i="12"/>
  <c r="F25" i="12"/>
  <c r="I28" i="12"/>
  <c r="H28" i="12"/>
  <c r="G28" i="12"/>
  <c r="F28" i="12"/>
  <c r="E28" i="12"/>
  <c r="D28" i="12"/>
  <c r="I29" i="12"/>
  <c r="H29" i="12"/>
  <c r="G29" i="12"/>
  <c r="F29" i="12"/>
  <c r="E29" i="12"/>
  <c r="D29" i="12"/>
  <c r="I32" i="12"/>
  <c r="H32" i="12"/>
  <c r="G32" i="12"/>
  <c r="F32" i="12"/>
  <c r="E32" i="12"/>
  <c r="D32" i="12"/>
  <c r="E27" i="12"/>
  <c r="D27" i="12"/>
  <c r="F27" i="12"/>
  <c r="G27" i="12"/>
  <c r="I27" i="12"/>
  <c r="H27" i="12"/>
  <c r="I33" i="12"/>
  <c r="H33" i="12"/>
  <c r="G33" i="12"/>
  <c r="F33" i="12"/>
  <c r="E33" i="12"/>
  <c r="D33" i="12"/>
  <c r="D31" i="12"/>
  <c r="I31" i="12"/>
  <c r="H31" i="12"/>
  <c r="E31" i="12"/>
  <c r="G31" i="12"/>
  <c r="F31" i="12"/>
  <c r="H34" i="11"/>
  <c r="I34" i="11"/>
  <c r="K27" i="11" s="1"/>
  <c r="F34" i="11"/>
  <c r="D34" i="11"/>
  <c r="G34" i="11"/>
  <c r="K26" i="11" s="1"/>
  <c r="J25" i="11"/>
  <c r="L25" i="11"/>
  <c r="J27" i="11"/>
  <c r="N25" i="11"/>
  <c r="J26" i="11"/>
  <c r="M25" i="11"/>
  <c r="K23" i="24" l="1"/>
  <c r="F28" i="24"/>
  <c r="O28" i="24" s="1"/>
  <c r="G28" i="24"/>
  <c r="E28" i="24"/>
  <c r="N28" i="24" s="1"/>
  <c r="D28" i="24"/>
  <c r="O26" i="24"/>
  <c r="G33" i="24"/>
  <c r="P33" i="24" s="1"/>
  <c r="F33" i="24"/>
  <c r="O33" i="24" s="1"/>
  <c r="E33" i="24"/>
  <c r="N33" i="24" s="1"/>
  <c r="D33" i="24"/>
  <c r="M33" i="24" s="1"/>
  <c r="O26" i="23"/>
  <c r="F35" i="23"/>
  <c r="N26" i="23"/>
  <c r="E35" i="23"/>
  <c r="G35" i="23"/>
  <c r="P26" i="23"/>
  <c r="D35" i="23"/>
  <c r="M26" i="23"/>
  <c r="H25" i="22"/>
  <c r="S25" i="22"/>
  <c r="J25" i="22"/>
  <c r="J29" i="22"/>
  <c r="J33" i="22"/>
  <c r="J27" i="22"/>
  <c r="J31" i="22"/>
  <c r="J28" i="22"/>
  <c r="J30" i="22"/>
  <c r="J32" i="22"/>
  <c r="J26" i="22"/>
  <c r="I25" i="22"/>
  <c r="T25" i="22"/>
  <c r="V25" i="22"/>
  <c r="I26" i="22"/>
  <c r="U25" i="22"/>
  <c r="H26" i="22"/>
  <c r="K28" i="22"/>
  <c r="K25" i="22"/>
  <c r="K29" i="22"/>
  <c r="K33" i="22"/>
  <c r="K27" i="22"/>
  <c r="K31" i="22"/>
  <c r="K30" i="22"/>
  <c r="K32" i="22"/>
  <c r="K26" i="22"/>
  <c r="G34" i="21"/>
  <c r="I26" i="21" s="1"/>
  <c r="F34" i="21"/>
  <c r="H26" i="21" s="1"/>
  <c r="D34" i="21"/>
  <c r="H25" i="21" s="1"/>
  <c r="E34" i="21"/>
  <c r="D25" i="20"/>
  <c r="O25" i="20" s="1"/>
  <c r="E25" i="20"/>
  <c r="P25" i="20" s="1"/>
  <c r="M13" i="20"/>
  <c r="F25" i="20"/>
  <c r="Q25" i="20" s="1"/>
  <c r="F33" i="20"/>
  <c r="Q33" i="20" s="1"/>
  <c r="M19" i="20"/>
  <c r="M14" i="20"/>
  <c r="F26" i="20"/>
  <c r="Q26" i="20" s="1"/>
  <c r="G26" i="20"/>
  <c r="R26" i="20" s="1"/>
  <c r="D26" i="20"/>
  <c r="O26" i="20" s="1"/>
  <c r="C27" i="20"/>
  <c r="E27" i="20" s="1"/>
  <c r="P27" i="20" s="1"/>
  <c r="G33" i="20"/>
  <c r="R33" i="20" s="1"/>
  <c r="F32" i="20"/>
  <c r="Q32" i="20" s="1"/>
  <c r="D33" i="20"/>
  <c r="O33" i="20" s="1"/>
  <c r="M21" i="20"/>
  <c r="M20" i="20"/>
  <c r="M17" i="20"/>
  <c r="D32" i="20"/>
  <c r="O32" i="20" s="1"/>
  <c r="E29" i="20"/>
  <c r="P29" i="20" s="1"/>
  <c r="C28" i="20"/>
  <c r="E28" i="20" s="1"/>
  <c r="P28" i="20" s="1"/>
  <c r="D29" i="20"/>
  <c r="O29" i="20" s="1"/>
  <c r="F29" i="20"/>
  <c r="Q29" i="20" s="1"/>
  <c r="G32" i="20"/>
  <c r="R32" i="20" s="1"/>
  <c r="D31" i="20"/>
  <c r="O31" i="20" s="1"/>
  <c r="G31" i="20"/>
  <c r="R31" i="20" s="1"/>
  <c r="F31" i="20"/>
  <c r="Q31" i="20" s="1"/>
  <c r="E31" i="20"/>
  <c r="P31" i="20" s="1"/>
  <c r="R25" i="20"/>
  <c r="D33" i="18"/>
  <c r="S33" i="18" s="1"/>
  <c r="H33" i="18"/>
  <c r="W33" i="18" s="1"/>
  <c r="E33" i="18"/>
  <c r="T33" i="18" s="1"/>
  <c r="I33" i="18"/>
  <c r="X33" i="18" s="1"/>
  <c r="F33" i="18"/>
  <c r="U33" i="18" s="1"/>
  <c r="E25" i="18"/>
  <c r="G25" i="18"/>
  <c r="V25" i="18" s="1"/>
  <c r="H25" i="18"/>
  <c r="W25" i="18" s="1"/>
  <c r="F25" i="18"/>
  <c r="U25" i="18" s="1"/>
  <c r="Q22" i="18"/>
  <c r="H31" i="18"/>
  <c r="W31" i="18" s="1"/>
  <c r="E31" i="18"/>
  <c r="T31" i="18" s="1"/>
  <c r="G31" i="18"/>
  <c r="V31" i="18" s="1"/>
  <c r="D31" i="18"/>
  <c r="S31" i="18" s="1"/>
  <c r="I31" i="18"/>
  <c r="X31" i="18" s="1"/>
  <c r="X25" i="18"/>
  <c r="S25" i="18"/>
  <c r="T25" i="18"/>
  <c r="I26" i="17"/>
  <c r="X26" i="17" s="1"/>
  <c r="C28" i="17"/>
  <c r="D28" i="17" s="1"/>
  <c r="S28" i="17" s="1"/>
  <c r="D25" i="17"/>
  <c r="S25" i="17" s="1"/>
  <c r="Q13" i="17"/>
  <c r="G33" i="17"/>
  <c r="V33" i="17" s="1"/>
  <c r="G25" i="17"/>
  <c r="V25" i="17" s="1"/>
  <c r="H25" i="17"/>
  <c r="E25" i="17"/>
  <c r="T25" i="17" s="1"/>
  <c r="F25" i="17"/>
  <c r="U25" i="17" s="1"/>
  <c r="F27" i="17"/>
  <c r="U27" i="17" s="1"/>
  <c r="E27" i="17"/>
  <c r="T27" i="17" s="1"/>
  <c r="Q20" i="17"/>
  <c r="G27" i="17"/>
  <c r="V27" i="17" s="1"/>
  <c r="D27" i="17"/>
  <c r="S27" i="17" s="1"/>
  <c r="I27" i="17"/>
  <c r="X27" i="17" s="1"/>
  <c r="D33" i="17"/>
  <c r="S33" i="17" s="1"/>
  <c r="Q15" i="17"/>
  <c r="E26" i="17"/>
  <c r="T26" i="17" s="1"/>
  <c r="H30" i="17"/>
  <c r="W30" i="17" s="1"/>
  <c r="Q18" i="17"/>
  <c r="Q14" i="17"/>
  <c r="F29" i="17"/>
  <c r="U29" i="17" s="1"/>
  <c r="E30" i="17"/>
  <c r="T30" i="17" s="1"/>
  <c r="G30" i="17"/>
  <c r="V30" i="17" s="1"/>
  <c r="I29" i="17"/>
  <c r="X29" i="17" s="1"/>
  <c r="D29" i="17"/>
  <c r="S29" i="17" s="1"/>
  <c r="F30" i="17"/>
  <c r="U30" i="17" s="1"/>
  <c r="F26" i="17"/>
  <c r="U26" i="17" s="1"/>
  <c r="G26" i="17"/>
  <c r="V26" i="17" s="1"/>
  <c r="D26" i="17"/>
  <c r="S26" i="17" s="1"/>
  <c r="I30" i="17"/>
  <c r="X30" i="17" s="1"/>
  <c r="E29" i="17"/>
  <c r="T29" i="17" s="1"/>
  <c r="E33" i="17"/>
  <c r="T33" i="17" s="1"/>
  <c r="Q21" i="17"/>
  <c r="F33" i="17"/>
  <c r="U33" i="17" s="1"/>
  <c r="H33" i="17"/>
  <c r="W33" i="17" s="1"/>
  <c r="C31" i="17"/>
  <c r="G31" i="17" s="1"/>
  <c r="V31" i="17" s="1"/>
  <c r="G29" i="17"/>
  <c r="V29" i="17" s="1"/>
  <c r="I32" i="17"/>
  <c r="X32" i="17" s="1"/>
  <c r="H32" i="17"/>
  <c r="W32" i="17" s="1"/>
  <c r="F32" i="17"/>
  <c r="U32" i="17" s="1"/>
  <c r="E32" i="17"/>
  <c r="T32" i="17" s="1"/>
  <c r="D32" i="17"/>
  <c r="S32" i="17" s="1"/>
  <c r="Q17" i="17"/>
  <c r="W25" i="17"/>
  <c r="X25" i="17"/>
  <c r="M30" i="16"/>
  <c r="M28" i="16"/>
  <c r="M31" i="16"/>
  <c r="M25" i="16"/>
  <c r="M27" i="16"/>
  <c r="L26" i="16"/>
  <c r="O26" i="16" s="1"/>
  <c r="P26" i="16" s="1"/>
  <c r="Q26" i="16" s="1"/>
  <c r="J25" i="16"/>
  <c r="L29" i="16"/>
  <c r="L25" i="16"/>
  <c r="O25" i="16" s="1"/>
  <c r="P25" i="16" s="1"/>
  <c r="Q25" i="16" s="1"/>
  <c r="L31" i="16"/>
  <c r="O31" i="16" s="1"/>
  <c r="P31" i="16" s="1"/>
  <c r="Q31" i="16" s="1"/>
  <c r="L33" i="16"/>
  <c r="O33" i="16" s="1"/>
  <c r="P33" i="16" s="1"/>
  <c r="Q33" i="16" s="1"/>
  <c r="L32" i="16"/>
  <c r="L27" i="16"/>
  <c r="L28" i="16"/>
  <c r="L30" i="16"/>
  <c r="M33" i="16"/>
  <c r="M26" i="16"/>
  <c r="M29" i="16"/>
  <c r="M32" i="16"/>
  <c r="J27" i="16"/>
  <c r="N33" i="16"/>
  <c r="N29" i="16"/>
  <c r="N31" i="16"/>
  <c r="N32" i="16"/>
  <c r="N27" i="16"/>
  <c r="N28" i="16"/>
  <c r="N26" i="16"/>
  <c r="N25" i="16"/>
  <c r="N30" i="16"/>
  <c r="H34" i="15"/>
  <c r="I34" i="15"/>
  <c r="K27" i="15" s="1"/>
  <c r="D34" i="15"/>
  <c r="F34" i="15"/>
  <c r="G34" i="15"/>
  <c r="K26" i="15" s="1"/>
  <c r="H30" i="14"/>
  <c r="H34" i="14" s="1"/>
  <c r="I30" i="14"/>
  <c r="F30" i="14"/>
  <c r="D30" i="14"/>
  <c r="G30" i="14"/>
  <c r="F26" i="14"/>
  <c r="G26" i="14"/>
  <c r="I26" i="14"/>
  <c r="D26" i="14"/>
  <c r="Q22" i="14"/>
  <c r="E26" i="14"/>
  <c r="E34" i="14" s="1"/>
  <c r="K25" i="14" s="1"/>
  <c r="D34" i="13"/>
  <c r="J25" i="13" s="1"/>
  <c r="G34" i="13"/>
  <c r="K26" i="13" s="1"/>
  <c r="F34" i="13"/>
  <c r="J26" i="13" s="1"/>
  <c r="H34" i="13"/>
  <c r="N25" i="13" s="1"/>
  <c r="E34" i="13"/>
  <c r="K25" i="13" s="1"/>
  <c r="I34" i="13"/>
  <c r="K27" i="13" s="1"/>
  <c r="L30" i="13"/>
  <c r="L33" i="13"/>
  <c r="D34" i="12"/>
  <c r="J27" i="12"/>
  <c r="I34" i="12"/>
  <c r="K27" i="12" s="1"/>
  <c r="F34" i="12"/>
  <c r="E34" i="12"/>
  <c r="K25" i="12" s="1"/>
  <c r="G34" i="12"/>
  <c r="K26" i="12" s="1"/>
  <c r="O25" i="11"/>
  <c r="P25" i="11" s="1"/>
  <c r="Q25" i="11" s="1"/>
  <c r="Q34" i="11" s="1"/>
  <c r="E35" i="24" l="1"/>
  <c r="F35" i="24"/>
  <c r="M28" i="24"/>
  <c r="D35" i="24"/>
  <c r="P28" i="24"/>
  <c r="G35" i="24"/>
  <c r="I26" i="24" s="1"/>
  <c r="H32" i="23"/>
  <c r="H28" i="23"/>
  <c r="H27" i="23"/>
  <c r="H26" i="23"/>
  <c r="H30" i="23"/>
  <c r="H34" i="23"/>
  <c r="H33" i="23"/>
  <c r="H29" i="23"/>
  <c r="H31" i="23"/>
  <c r="J31" i="23" s="1"/>
  <c r="K31" i="23" s="1"/>
  <c r="I27" i="23"/>
  <c r="I26" i="23"/>
  <c r="I34" i="23"/>
  <c r="I30" i="23"/>
  <c r="I28" i="23"/>
  <c r="I32" i="23"/>
  <c r="I29" i="23"/>
  <c r="I31" i="23"/>
  <c r="I33" i="23"/>
  <c r="L32" i="22"/>
  <c r="M32" i="22" s="1"/>
  <c r="L26" i="22"/>
  <c r="M26" i="22" s="1"/>
  <c r="L28" i="22"/>
  <c r="M28" i="22" s="1"/>
  <c r="L30" i="22"/>
  <c r="M30" i="22" s="1"/>
  <c r="L31" i="22"/>
  <c r="M31" i="22" s="1"/>
  <c r="L27" i="22"/>
  <c r="M27" i="22" s="1"/>
  <c r="L33" i="22"/>
  <c r="M33" i="22" s="1"/>
  <c r="L29" i="22"/>
  <c r="M29" i="22" s="1"/>
  <c r="L25" i="22"/>
  <c r="M25" i="22" s="1"/>
  <c r="J30" i="21"/>
  <c r="V25" i="21"/>
  <c r="S25" i="21"/>
  <c r="K27" i="21"/>
  <c r="K33" i="21"/>
  <c r="K32" i="21"/>
  <c r="K30" i="21"/>
  <c r="J29" i="21"/>
  <c r="T25" i="21"/>
  <c r="U25" i="21"/>
  <c r="J32" i="21"/>
  <c r="L32" i="21" s="1"/>
  <c r="M32" i="21" s="1"/>
  <c r="J25" i="21"/>
  <c r="K29" i="21"/>
  <c r="J31" i="21"/>
  <c r="K31" i="21"/>
  <c r="J27" i="21"/>
  <c r="K25" i="21"/>
  <c r="K28" i="21"/>
  <c r="K26" i="21"/>
  <c r="J28" i="21"/>
  <c r="J33" i="21"/>
  <c r="J26" i="21"/>
  <c r="I25" i="21"/>
  <c r="F27" i="20"/>
  <c r="Q27" i="20" s="1"/>
  <c r="G27" i="20"/>
  <c r="R27" i="20" s="1"/>
  <c r="D27" i="20"/>
  <c r="O27" i="20" s="1"/>
  <c r="M22" i="20"/>
  <c r="G28" i="20"/>
  <c r="R28" i="20" s="1"/>
  <c r="D28" i="20"/>
  <c r="O28" i="20" s="1"/>
  <c r="F28" i="20"/>
  <c r="Q28" i="20" s="1"/>
  <c r="E34" i="20"/>
  <c r="E34" i="18"/>
  <c r="L26" i="18" s="1"/>
  <c r="H34" i="18"/>
  <c r="N32" i="18" s="1"/>
  <c r="F34" i="18"/>
  <c r="J26" i="18" s="1"/>
  <c r="I34" i="18"/>
  <c r="G34" i="18"/>
  <c r="D34" i="18"/>
  <c r="L29" i="18" s="1"/>
  <c r="AD25" i="18"/>
  <c r="K27" i="18"/>
  <c r="N29" i="18"/>
  <c r="Y25" i="18"/>
  <c r="H28" i="17"/>
  <c r="W28" i="17" s="1"/>
  <c r="I28" i="17"/>
  <c r="X28" i="17" s="1"/>
  <c r="G28" i="17"/>
  <c r="V28" i="17" s="1"/>
  <c r="E28" i="17"/>
  <c r="T28" i="17" s="1"/>
  <c r="F28" i="17"/>
  <c r="U28" i="17" s="1"/>
  <c r="F31" i="17"/>
  <c r="U31" i="17" s="1"/>
  <c r="Q22" i="17"/>
  <c r="D31" i="17"/>
  <c r="I31" i="17"/>
  <c r="X31" i="17" s="1"/>
  <c r="H31" i="17"/>
  <c r="W31" i="17" s="1"/>
  <c r="E31" i="17"/>
  <c r="T31" i="17" s="1"/>
  <c r="O32" i="16"/>
  <c r="P32" i="16" s="1"/>
  <c r="Q32" i="16" s="1"/>
  <c r="O30" i="16"/>
  <c r="P30" i="16" s="1"/>
  <c r="Q30" i="16" s="1"/>
  <c r="O28" i="16"/>
  <c r="P28" i="16" s="1"/>
  <c r="Q28" i="16" s="1"/>
  <c r="O29" i="16"/>
  <c r="P29" i="16" s="1"/>
  <c r="Q29" i="16" s="1"/>
  <c r="O27" i="16"/>
  <c r="P27" i="16" s="1"/>
  <c r="Q27" i="16" s="1"/>
  <c r="Q34" i="16" s="1"/>
  <c r="J26" i="15"/>
  <c r="M25" i="15"/>
  <c r="M28" i="15"/>
  <c r="M27" i="15"/>
  <c r="M31" i="15"/>
  <c r="M32" i="15"/>
  <c r="M30" i="15"/>
  <c r="M26" i="15"/>
  <c r="M33" i="15"/>
  <c r="M29" i="15"/>
  <c r="L27" i="15"/>
  <c r="O27" i="15" s="1"/>
  <c r="P27" i="15" s="1"/>
  <c r="Q27" i="15" s="1"/>
  <c r="J25" i="15"/>
  <c r="L31" i="15"/>
  <c r="L28" i="15"/>
  <c r="L30" i="15"/>
  <c r="L32" i="15"/>
  <c r="L25" i="15"/>
  <c r="O25" i="15" s="1"/>
  <c r="P25" i="15" s="1"/>
  <c r="Q25" i="15" s="1"/>
  <c r="L26" i="15"/>
  <c r="O26" i="15" s="1"/>
  <c r="P26" i="15" s="1"/>
  <c r="Q26" i="15" s="1"/>
  <c r="L33" i="15"/>
  <c r="L29" i="15"/>
  <c r="N27" i="15"/>
  <c r="J27" i="15"/>
  <c r="N28" i="15"/>
  <c r="N32" i="15"/>
  <c r="N31" i="15"/>
  <c r="N25" i="15"/>
  <c r="N30" i="15"/>
  <c r="N26" i="15"/>
  <c r="N29" i="15"/>
  <c r="N33" i="15"/>
  <c r="I34" i="14"/>
  <c r="K27" i="14" s="1"/>
  <c r="F34" i="14"/>
  <c r="J26" i="14" s="1"/>
  <c r="D34" i="14"/>
  <c r="L33" i="14" s="1"/>
  <c r="G34" i="14"/>
  <c r="K26" i="14" s="1"/>
  <c r="J27" i="14"/>
  <c r="L25" i="13"/>
  <c r="N32" i="13"/>
  <c r="M29" i="13"/>
  <c r="M33" i="13"/>
  <c r="O33" i="13" s="1"/>
  <c r="P33" i="13" s="1"/>
  <c r="Q33" i="13" s="1"/>
  <c r="M26" i="13"/>
  <c r="L29" i="13"/>
  <c r="M25" i="13"/>
  <c r="O25" i="13" s="1"/>
  <c r="P25" i="13" s="1"/>
  <c r="Q25" i="13" s="1"/>
  <c r="L26" i="13"/>
  <c r="M31" i="13"/>
  <c r="N29" i="13"/>
  <c r="L31" i="13"/>
  <c r="M28" i="13"/>
  <c r="M30" i="13"/>
  <c r="J27" i="13"/>
  <c r="M27" i="13"/>
  <c r="N30" i="13"/>
  <c r="N33" i="13"/>
  <c r="L28" i="13"/>
  <c r="M32" i="13"/>
  <c r="N26" i="13"/>
  <c r="L27" i="13"/>
  <c r="N31" i="13"/>
  <c r="L32" i="13"/>
  <c r="O32" i="13" s="1"/>
  <c r="P32" i="13" s="1"/>
  <c r="Q32" i="13" s="1"/>
  <c r="N28" i="13"/>
  <c r="N27" i="13"/>
  <c r="N31" i="12"/>
  <c r="N33" i="12"/>
  <c r="N32" i="12"/>
  <c r="N26" i="12"/>
  <c r="N30" i="12"/>
  <c r="N29" i="12"/>
  <c r="N27" i="12"/>
  <c r="N28" i="12"/>
  <c r="N25" i="12"/>
  <c r="J26" i="12"/>
  <c r="M25" i="12"/>
  <c r="M28" i="12"/>
  <c r="M30" i="12"/>
  <c r="M31" i="12"/>
  <c r="M33" i="12"/>
  <c r="M29" i="12"/>
  <c r="M27" i="12"/>
  <c r="M32" i="12"/>
  <c r="M26" i="12"/>
  <c r="L27" i="12"/>
  <c r="O27" i="12" s="1"/>
  <c r="P27" i="12" s="1"/>
  <c r="Q27" i="12" s="1"/>
  <c r="J25" i="12"/>
  <c r="L25" i="12"/>
  <c r="L28" i="12"/>
  <c r="O28" i="12" s="1"/>
  <c r="P28" i="12" s="1"/>
  <c r="Q28" i="12" s="1"/>
  <c r="L29" i="12"/>
  <c r="O29" i="12" s="1"/>
  <c r="P29" i="12" s="1"/>
  <c r="Q29" i="12" s="1"/>
  <c r="L30" i="12"/>
  <c r="L32" i="12"/>
  <c r="L33" i="12"/>
  <c r="O33" i="12" s="1"/>
  <c r="P33" i="12" s="1"/>
  <c r="Q33" i="12" s="1"/>
  <c r="L31" i="12"/>
  <c r="L26" i="12"/>
  <c r="O26" i="12" s="1"/>
  <c r="P26" i="12" s="1"/>
  <c r="Q26" i="12" s="1"/>
  <c r="H32" i="24" l="1"/>
  <c r="H29" i="24"/>
  <c r="H31" i="24"/>
  <c r="H28" i="24"/>
  <c r="H34" i="24"/>
  <c r="H27" i="24"/>
  <c r="H33" i="24"/>
  <c r="H26" i="24"/>
  <c r="J26" i="24" s="1"/>
  <c r="K26" i="24" s="1"/>
  <c r="H30" i="24"/>
  <c r="J30" i="24" s="1"/>
  <c r="K30" i="24" s="1"/>
  <c r="I33" i="24"/>
  <c r="I34" i="24"/>
  <c r="I28" i="24"/>
  <c r="I27" i="24"/>
  <c r="I32" i="24"/>
  <c r="I31" i="24"/>
  <c r="I29" i="24"/>
  <c r="I30" i="24"/>
  <c r="J33" i="23"/>
  <c r="K33" i="23" s="1"/>
  <c r="J34" i="23"/>
  <c r="K34" i="23" s="1"/>
  <c r="J30" i="23"/>
  <c r="K30" i="23" s="1"/>
  <c r="J26" i="23"/>
  <c r="K26" i="23" s="1"/>
  <c r="J27" i="23"/>
  <c r="K27" i="23" s="1"/>
  <c r="J29" i="23"/>
  <c r="K29" i="23" s="1"/>
  <c r="J28" i="23"/>
  <c r="K28" i="23" s="1"/>
  <c r="J32" i="23"/>
  <c r="K32" i="23" s="1"/>
  <c r="M34" i="22"/>
  <c r="L30" i="21"/>
  <c r="M30" i="21" s="1"/>
  <c r="L29" i="21"/>
  <c r="M29" i="21" s="1"/>
  <c r="L33" i="21"/>
  <c r="M33" i="21" s="1"/>
  <c r="L31" i="21"/>
  <c r="M31" i="21" s="1"/>
  <c r="L26" i="21"/>
  <c r="M26" i="21" s="1"/>
  <c r="L28" i="21"/>
  <c r="M28" i="21" s="1"/>
  <c r="L27" i="21"/>
  <c r="M27" i="21" s="1"/>
  <c r="L25" i="21"/>
  <c r="M25" i="21" s="1"/>
  <c r="G34" i="20"/>
  <c r="I26" i="20" s="1"/>
  <c r="F34" i="20"/>
  <c r="H26" i="20" s="1"/>
  <c r="D34" i="20"/>
  <c r="H25" i="20" s="1"/>
  <c r="I25" i="20"/>
  <c r="T25" i="20"/>
  <c r="L31" i="18"/>
  <c r="N33" i="18"/>
  <c r="N30" i="18"/>
  <c r="O30" i="18" s="1"/>
  <c r="P30" i="18" s="1"/>
  <c r="Q30" i="18" s="1"/>
  <c r="N28" i="18"/>
  <c r="M29" i="18"/>
  <c r="J27" i="18"/>
  <c r="L33" i="18"/>
  <c r="M31" i="18"/>
  <c r="AC25" i="18"/>
  <c r="L25" i="18"/>
  <c r="M30" i="18"/>
  <c r="N26" i="18"/>
  <c r="Z25" i="18"/>
  <c r="K25" i="18"/>
  <c r="M26" i="18"/>
  <c r="O26" i="18" s="1"/>
  <c r="P26" i="18" s="1"/>
  <c r="Q26" i="18" s="1"/>
  <c r="L28" i="18"/>
  <c r="O28" i="18" s="1"/>
  <c r="P28" i="18" s="1"/>
  <c r="Q28" i="18" s="1"/>
  <c r="M27" i="18"/>
  <c r="AA25" i="18"/>
  <c r="L32" i="18"/>
  <c r="L30" i="18"/>
  <c r="M28" i="18"/>
  <c r="L27" i="18"/>
  <c r="N25" i="18"/>
  <c r="N27" i="18"/>
  <c r="J25" i="18"/>
  <c r="N31" i="18"/>
  <c r="AB25" i="18"/>
  <c r="M25" i="18"/>
  <c r="O25" i="18" s="1"/>
  <c r="P25" i="18" s="1"/>
  <c r="Q25" i="18" s="1"/>
  <c r="K26" i="18"/>
  <c r="M33" i="18"/>
  <c r="M32" i="18"/>
  <c r="O32" i="18"/>
  <c r="P32" i="18" s="1"/>
  <c r="Q32" i="18" s="1"/>
  <c r="O27" i="18"/>
  <c r="P27" i="18" s="1"/>
  <c r="Q27" i="18" s="1"/>
  <c r="O31" i="18"/>
  <c r="P31" i="18" s="1"/>
  <c r="Q31" i="18" s="1"/>
  <c r="O29" i="18"/>
  <c r="P29" i="18" s="1"/>
  <c r="Q29" i="18" s="1"/>
  <c r="E34" i="17"/>
  <c r="K25" i="17" s="1"/>
  <c r="G34" i="17"/>
  <c r="K26" i="17" s="1"/>
  <c r="F34" i="17"/>
  <c r="J26" i="17" s="1"/>
  <c r="I34" i="17"/>
  <c r="AD25" i="17" s="1"/>
  <c r="H34" i="17"/>
  <c r="S31" i="17"/>
  <c r="D34" i="17"/>
  <c r="O29" i="15"/>
  <c r="P29" i="15" s="1"/>
  <c r="Q29" i="15" s="1"/>
  <c r="O33" i="15"/>
  <c r="P33" i="15" s="1"/>
  <c r="Q33" i="15" s="1"/>
  <c r="O32" i="15"/>
  <c r="P32" i="15" s="1"/>
  <c r="Q32" i="15" s="1"/>
  <c r="O30" i="15"/>
  <c r="P30" i="15" s="1"/>
  <c r="Q30" i="15" s="1"/>
  <c r="O28" i="15"/>
  <c r="P28" i="15" s="1"/>
  <c r="Q28" i="15" s="1"/>
  <c r="Q34" i="15" s="1"/>
  <c r="O31" i="15"/>
  <c r="P31" i="15" s="1"/>
  <c r="Q31" i="15" s="1"/>
  <c r="M28" i="14"/>
  <c r="M30" i="14"/>
  <c r="J25" i="14"/>
  <c r="L28" i="14"/>
  <c r="L27" i="14"/>
  <c r="L30" i="14"/>
  <c r="L29" i="14"/>
  <c r="L32" i="14"/>
  <c r="L26" i="14"/>
  <c r="M31" i="14"/>
  <c r="M33" i="14"/>
  <c r="N26" i="14"/>
  <c r="N33" i="14"/>
  <c r="N25" i="14"/>
  <c r="N32" i="14"/>
  <c r="N27" i="14"/>
  <c r="L25" i="14"/>
  <c r="N28" i="14"/>
  <c r="L31" i="14"/>
  <c r="N29" i="14"/>
  <c r="N31" i="14"/>
  <c r="N30" i="14"/>
  <c r="M32" i="14"/>
  <c r="M26" i="14"/>
  <c r="M29" i="14"/>
  <c r="M27" i="14"/>
  <c r="M25" i="14"/>
  <c r="O30" i="13"/>
  <c r="P30" i="13" s="1"/>
  <c r="Q30" i="13" s="1"/>
  <c r="O28" i="13"/>
  <c r="P28" i="13" s="1"/>
  <c r="Q28" i="13" s="1"/>
  <c r="O31" i="13"/>
  <c r="P31" i="13" s="1"/>
  <c r="Q31" i="13" s="1"/>
  <c r="O26" i="13"/>
  <c r="P26" i="13" s="1"/>
  <c r="Q26" i="13" s="1"/>
  <c r="Q34" i="13" s="1"/>
  <c r="O29" i="13"/>
  <c r="P29" i="13" s="1"/>
  <c r="Q29" i="13" s="1"/>
  <c r="O27" i="13"/>
  <c r="P27" i="13" s="1"/>
  <c r="Q27" i="13" s="1"/>
  <c r="O30" i="12"/>
  <c r="P30" i="12" s="1"/>
  <c r="Q30" i="12" s="1"/>
  <c r="O25" i="12"/>
  <c r="P25" i="12" s="1"/>
  <c r="Q25" i="12" s="1"/>
  <c r="O31" i="12"/>
  <c r="P31" i="12" s="1"/>
  <c r="Q31" i="12" s="1"/>
  <c r="O32" i="12"/>
  <c r="P32" i="12" s="1"/>
  <c r="Q32" i="12" s="1"/>
  <c r="J27" i="24" l="1"/>
  <c r="K27" i="24" s="1"/>
  <c r="J34" i="24"/>
  <c r="K34" i="24" s="1"/>
  <c r="J28" i="24"/>
  <c r="K28" i="24" s="1"/>
  <c r="J31" i="24"/>
  <c r="K31" i="24" s="1"/>
  <c r="J33" i="24"/>
  <c r="K33" i="24" s="1"/>
  <c r="J29" i="24"/>
  <c r="K29" i="24" s="1"/>
  <c r="J32" i="24"/>
  <c r="K32" i="24" s="1"/>
  <c r="K35" i="23"/>
  <c r="M34" i="21"/>
  <c r="K33" i="20"/>
  <c r="V25" i="20"/>
  <c r="K29" i="20"/>
  <c r="K25" i="20"/>
  <c r="K28" i="20"/>
  <c r="K31" i="20"/>
  <c r="K30" i="20"/>
  <c r="K27" i="20"/>
  <c r="U25" i="20"/>
  <c r="K26" i="20"/>
  <c r="K32" i="20"/>
  <c r="J32" i="20"/>
  <c r="S25" i="20"/>
  <c r="J26" i="20"/>
  <c r="J30" i="20"/>
  <c r="J28" i="20"/>
  <c r="J25" i="20"/>
  <c r="J33" i="20"/>
  <c r="J31" i="20"/>
  <c r="J27" i="20"/>
  <c r="J29" i="20"/>
  <c r="O33" i="18"/>
  <c r="P33" i="18" s="1"/>
  <c r="Q33" i="18" s="1"/>
  <c r="Q34" i="18" s="1"/>
  <c r="Z25" i="17"/>
  <c r="L31" i="17"/>
  <c r="AB25" i="17"/>
  <c r="AA25" i="17"/>
  <c r="M27" i="17"/>
  <c r="M29" i="17"/>
  <c r="M33" i="17"/>
  <c r="M32" i="17"/>
  <c r="M31" i="17"/>
  <c r="M25" i="17"/>
  <c r="M26" i="17"/>
  <c r="M30" i="17"/>
  <c r="M28" i="17"/>
  <c r="N32" i="17"/>
  <c r="K27" i="17"/>
  <c r="L33" i="17"/>
  <c r="L26" i="17"/>
  <c r="L25" i="17"/>
  <c r="L32" i="17"/>
  <c r="L27" i="17"/>
  <c r="L29" i="17"/>
  <c r="N29" i="17"/>
  <c r="N27" i="17"/>
  <c r="N25" i="17"/>
  <c r="N33" i="17"/>
  <c r="N30" i="17"/>
  <c r="AC25" i="17"/>
  <c r="J27" i="17"/>
  <c r="N26" i="17"/>
  <c r="N31" i="17"/>
  <c r="Y25" i="17"/>
  <c r="J25" i="17"/>
  <c r="N28" i="17"/>
  <c r="L28" i="17"/>
  <c r="L30" i="17"/>
  <c r="O25" i="14"/>
  <c r="P25" i="14" s="1"/>
  <c r="Q25" i="14" s="1"/>
  <c r="O33" i="14"/>
  <c r="P33" i="14" s="1"/>
  <c r="Q33" i="14" s="1"/>
  <c r="O30" i="14"/>
  <c r="P30" i="14" s="1"/>
  <c r="Q30" i="14" s="1"/>
  <c r="O28" i="14"/>
  <c r="P28" i="14" s="1"/>
  <c r="Q28" i="14" s="1"/>
  <c r="O27" i="14"/>
  <c r="P27" i="14" s="1"/>
  <c r="Q27" i="14" s="1"/>
  <c r="O31" i="14"/>
  <c r="P31" i="14" s="1"/>
  <c r="Q31" i="14" s="1"/>
  <c r="O26" i="14"/>
  <c r="P26" i="14" s="1"/>
  <c r="Q26" i="14" s="1"/>
  <c r="O32" i="14"/>
  <c r="P32" i="14" s="1"/>
  <c r="Q32" i="14" s="1"/>
  <c r="O29" i="14"/>
  <c r="P29" i="14" s="1"/>
  <c r="Q29" i="14" s="1"/>
  <c r="Q34" i="12"/>
  <c r="K35" i="24" l="1"/>
  <c r="L31" i="20"/>
  <c r="M31" i="20" s="1"/>
  <c r="L25" i="20"/>
  <c r="M25" i="20" s="1"/>
  <c r="L32" i="20"/>
  <c r="M32" i="20" s="1"/>
  <c r="L33" i="20"/>
  <c r="M33" i="20" s="1"/>
  <c r="L29" i="20"/>
  <c r="M29" i="20" s="1"/>
  <c r="L30" i="20"/>
  <c r="M30" i="20" s="1"/>
  <c r="L26" i="20"/>
  <c r="M26" i="20" s="1"/>
  <c r="L27" i="20"/>
  <c r="M27" i="20" s="1"/>
  <c r="L28" i="20"/>
  <c r="M28" i="20" s="1"/>
  <c r="O32" i="17"/>
  <c r="P32" i="17" s="1"/>
  <c r="Q32" i="17" s="1"/>
  <c r="O25" i="17"/>
  <c r="P25" i="17" s="1"/>
  <c r="Q25" i="17" s="1"/>
  <c r="O29" i="17"/>
  <c r="P29" i="17" s="1"/>
  <c r="Q29" i="17" s="1"/>
  <c r="O27" i="17"/>
  <c r="P27" i="17" s="1"/>
  <c r="Q27" i="17" s="1"/>
  <c r="O31" i="17"/>
  <c r="P31" i="17" s="1"/>
  <c r="Q31" i="17" s="1"/>
  <c r="O33" i="17"/>
  <c r="P33" i="17" s="1"/>
  <c r="Q33" i="17" s="1"/>
  <c r="O26" i="17"/>
  <c r="P26" i="17" s="1"/>
  <c r="Q26" i="17" s="1"/>
  <c r="O30" i="17"/>
  <c r="P30" i="17" s="1"/>
  <c r="Q30" i="17" s="1"/>
  <c r="O28" i="17"/>
  <c r="P28" i="17" s="1"/>
  <c r="Q28" i="17" s="1"/>
  <c r="Q34" i="14"/>
  <c r="M34" i="20" l="1"/>
  <c r="Q34" i="17"/>
</calcChain>
</file>

<file path=xl/sharedStrings.xml><?xml version="1.0" encoding="utf-8"?>
<sst xmlns="http://schemas.openxmlformats.org/spreadsheetml/2006/main" count="315" uniqueCount="17">
  <si>
    <t>A</t>
  </si>
  <si>
    <t>A</t>
    <phoneticPr fontId="1"/>
  </si>
  <si>
    <t>B</t>
  </si>
  <si>
    <t>B</t>
    <phoneticPr fontId="1"/>
  </si>
  <si>
    <t>C</t>
  </si>
  <si>
    <t>C</t>
    <phoneticPr fontId="1"/>
  </si>
  <si>
    <t>s</t>
    <phoneticPr fontId="1"/>
  </si>
  <si>
    <t>データ</t>
    <phoneticPr fontId="1"/>
  </si>
  <si>
    <t>Aグループ</t>
    <phoneticPr fontId="1"/>
  </si>
  <si>
    <t>Bグループ</t>
    <phoneticPr fontId="1"/>
  </si>
  <si>
    <t>重心Aまで
の距離</t>
    <rPh sb="0" eb="2">
      <t>ジュウシン</t>
    </rPh>
    <rPh sb="7" eb="9">
      <t>キョリ</t>
    </rPh>
    <phoneticPr fontId="1"/>
  </si>
  <si>
    <t>重心Bまで
の距離</t>
    <rPh sb="0" eb="2">
      <t>ジュウシン</t>
    </rPh>
    <rPh sb="7" eb="9">
      <t>キョリ</t>
    </rPh>
    <phoneticPr fontId="1"/>
  </si>
  <si>
    <t>新規
グループ</t>
    <rPh sb="0" eb="2">
      <t>シンキ</t>
    </rPh>
    <phoneticPr fontId="1"/>
  </si>
  <si>
    <t>グループ</t>
    <phoneticPr fontId="1"/>
  </si>
  <si>
    <t>変更
あり/なし</t>
    <rPh sb="0" eb="2">
      <t>ヘンコウ</t>
    </rPh>
    <phoneticPr fontId="1"/>
  </si>
  <si>
    <t>グラフ用データ</t>
    <rPh sb="3" eb="4">
      <t>ヨウ</t>
    </rPh>
    <phoneticPr fontId="1"/>
  </si>
  <si>
    <t>重心-&gt;</t>
    <rPh sb="0" eb="2">
      <t>ジュウシン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</si>
</sst>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ill="1"/>
    <xf numFmtId="0" fontId="0" fillId="0" borderId="0" xfId="0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8.xml"/><Relationship Id="rId1" Type="http://schemas.microsoft.com/office/2011/relationships/chartStyle" Target="style38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9.xml"/><Relationship Id="rId1" Type="http://schemas.microsoft.com/office/2011/relationships/chartStyle" Target="style39.xml"/></Relationships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40.xml"/><Relationship Id="rId1" Type="http://schemas.microsoft.com/office/2011/relationships/chartStyle" Target="style40.xml"/></Relationships>
</file>

<file path=xl/charts/_rels/chart41.xml.rels><?xml version="1.0" encoding="UTF-8" standalone="yes"?>
<Relationships xmlns="http://schemas.openxmlformats.org/package/2006/relationships"><Relationship Id="rId2" Type="http://schemas.microsoft.com/office/2011/relationships/chartColorStyle" Target="colors41.xml"/><Relationship Id="rId1" Type="http://schemas.microsoft.com/office/2011/relationships/chartStyle" Target="style41.xml"/></Relationships>
</file>

<file path=xl/charts/_rels/chart42.xml.rels><?xml version="1.0" encoding="UTF-8" standalone="yes"?>
<Relationships xmlns="http://schemas.openxmlformats.org/package/2006/relationships"><Relationship Id="rId2" Type="http://schemas.microsoft.com/office/2011/relationships/chartColorStyle" Target="colors42.xml"/><Relationship Id="rId1" Type="http://schemas.microsoft.com/office/2011/relationships/chartStyle" Target="style42.xml"/></Relationships>
</file>

<file path=xl/charts/_rels/chart43.xml.rels><?xml version="1.0" encoding="UTF-8" standalone="yes"?>
<Relationships xmlns="http://schemas.openxmlformats.org/package/2006/relationships"><Relationship Id="rId2" Type="http://schemas.microsoft.com/office/2011/relationships/chartColorStyle" Target="colors43.xml"/><Relationship Id="rId1" Type="http://schemas.microsoft.com/office/2011/relationships/chartStyle" Target="style43.xml"/></Relationships>
</file>

<file path=xl/charts/_rels/chart44.xml.rels><?xml version="1.0" encoding="UTF-8" standalone="yes"?>
<Relationships xmlns="http://schemas.openxmlformats.org/package/2006/relationships"><Relationship Id="rId2" Type="http://schemas.microsoft.com/office/2011/relationships/chartColorStyle" Target="colors44.xml"/><Relationship Id="rId1" Type="http://schemas.microsoft.com/office/2011/relationships/chartStyle" Target="style44.xml"/></Relationships>
</file>

<file path=xl/charts/_rels/chart45.xml.rels><?xml version="1.0" encoding="UTF-8" standalone="yes"?>
<Relationships xmlns="http://schemas.openxmlformats.org/package/2006/relationships"><Relationship Id="rId2" Type="http://schemas.microsoft.com/office/2011/relationships/chartColorStyle" Target="colors45.xml"/><Relationship Id="rId1" Type="http://schemas.microsoft.com/office/2011/relationships/chartStyle" Target="style45.xml"/></Relationships>
</file>

<file path=xl/charts/_rels/chart46.xml.rels><?xml version="1.0" encoding="UTF-8" standalone="yes"?>
<Relationships xmlns="http://schemas.openxmlformats.org/package/2006/relationships"><Relationship Id="rId2" Type="http://schemas.microsoft.com/office/2011/relationships/chartColorStyle" Target="colors46.xml"/><Relationship Id="rId1" Type="http://schemas.microsoft.com/office/2011/relationships/chartStyle" Target="style46.xml"/></Relationships>
</file>

<file path=xl/charts/_rels/chart47.xml.rels><?xml version="1.0" encoding="UTF-8" standalone="yes"?>
<Relationships xmlns="http://schemas.openxmlformats.org/package/2006/relationships"><Relationship Id="rId2" Type="http://schemas.microsoft.com/office/2011/relationships/chartColorStyle" Target="colors47.xml"/><Relationship Id="rId1" Type="http://schemas.microsoft.com/office/2011/relationships/chartStyle" Target="style47.xml"/></Relationships>
</file>

<file path=xl/charts/_rels/chart48.xml.rels><?xml version="1.0" encoding="UTF-8" standalone="yes"?>
<Relationships xmlns="http://schemas.openxmlformats.org/package/2006/relationships"><Relationship Id="rId2" Type="http://schemas.microsoft.com/office/2011/relationships/chartColorStyle" Target="colors48.xml"/><Relationship Id="rId1" Type="http://schemas.microsoft.com/office/2011/relationships/chartStyle" Target="style48.xml"/></Relationships>
</file>

<file path=xl/charts/_rels/chart49.xml.rels><?xml version="1.0" encoding="UTF-8" standalone="yes"?>
<Relationships xmlns="http://schemas.openxmlformats.org/package/2006/relationships"><Relationship Id="rId2" Type="http://schemas.microsoft.com/office/2011/relationships/chartColorStyle" Target="colors49.xml"/><Relationship Id="rId1" Type="http://schemas.microsoft.com/office/2011/relationships/chartStyle" Target="style49.xml"/></Relationships>
</file>

<file path=xl/charts/_rels/chart50.xml.rels><?xml version="1.0" encoding="UTF-8" standalone="yes"?>
<Relationships xmlns="http://schemas.openxmlformats.org/package/2006/relationships"><Relationship Id="rId2" Type="http://schemas.microsoft.com/office/2011/relationships/chartColorStyle" Target="colors50.xml"/><Relationship Id="rId1" Type="http://schemas.microsoft.com/office/2011/relationships/chartStyle" Target="style50.xml"/></Relationships>
</file>

<file path=xl/charts/_rels/chart51.xml.rels><?xml version="1.0" encoding="UTF-8" standalone="yes"?>
<Relationships xmlns="http://schemas.openxmlformats.org/package/2006/relationships"><Relationship Id="rId2" Type="http://schemas.microsoft.com/office/2011/relationships/chartColorStyle" Target="colors51.xml"/><Relationship Id="rId1" Type="http://schemas.microsoft.com/office/2011/relationships/chartStyle" Target="style51.xml"/></Relationships>
</file>

<file path=xl/charts/_rels/chart52.xml.rels><?xml version="1.0" encoding="UTF-8" standalone="yes"?>
<Relationships xmlns="http://schemas.openxmlformats.org/package/2006/relationships"><Relationship Id="rId2" Type="http://schemas.microsoft.com/office/2011/relationships/chartColorStyle" Target="colors52.xml"/><Relationship Id="rId1" Type="http://schemas.microsoft.com/office/2011/relationships/chartStyle" Target="style52.xml"/></Relationships>
</file>

<file path=xl/charts/_rels/chart53.xml.rels><?xml version="1.0" encoding="UTF-8" standalone="yes"?>
<Relationships xmlns="http://schemas.openxmlformats.org/package/2006/relationships"><Relationship Id="rId2" Type="http://schemas.microsoft.com/office/2011/relationships/chartColorStyle" Target="colors53.xml"/><Relationship Id="rId1" Type="http://schemas.microsoft.com/office/2011/relationships/chartStyle" Target="style53.xml"/></Relationships>
</file>

<file path=xl/charts/_rels/chart54.xml.rels><?xml version="1.0" encoding="UTF-8" standalone="yes"?>
<Relationships xmlns="http://schemas.openxmlformats.org/package/2006/relationships"><Relationship Id="rId2" Type="http://schemas.microsoft.com/office/2011/relationships/chartColorStyle" Target="colors54.xml"/><Relationship Id="rId1" Type="http://schemas.microsoft.com/office/2011/relationships/chartStyle" Target="style54.xml"/></Relationships>
</file>

<file path=xl/charts/_rels/chart55.xml.rels><?xml version="1.0" encoding="UTF-8" standalone="yes"?>
<Relationships xmlns="http://schemas.openxmlformats.org/package/2006/relationships"><Relationship Id="rId2" Type="http://schemas.microsoft.com/office/2011/relationships/chartColorStyle" Target="colors55.xml"/><Relationship Id="rId1" Type="http://schemas.microsoft.com/office/2011/relationships/chartStyle" Target="style55.xml"/></Relationships>
</file>

<file path=xl/charts/_rels/chart56.xml.rels><?xml version="1.0" encoding="UTF-8" standalone="yes"?>
<Relationships xmlns="http://schemas.openxmlformats.org/package/2006/relationships"><Relationship Id="rId2" Type="http://schemas.microsoft.com/office/2011/relationships/chartColorStyle" Target="colors56.xml"/><Relationship Id="rId1" Type="http://schemas.microsoft.com/office/2011/relationships/chartStyle" Target="style56.xml"/></Relationships>
</file>

<file path=xl/charts/_rels/chart57.xml.rels><?xml version="1.0" encoding="UTF-8" standalone="yes"?>
<Relationships xmlns="http://schemas.openxmlformats.org/package/2006/relationships"><Relationship Id="rId2" Type="http://schemas.microsoft.com/office/2011/relationships/chartColorStyle" Target="colors57.xml"/><Relationship Id="rId1" Type="http://schemas.microsoft.com/office/2011/relationships/chartStyle" Target="style57.xml"/></Relationships>
</file>

<file path=xl/charts/_rels/chart58.xml.rels><?xml version="1.0" encoding="UTF-8" standalone="yes"?>
<Relationships xmlns="http://schemas.openxmlformats.org/package/2006/relationships"><Relationship Id="rId2" Type="http://schemas.microsoft.com/office/2011/relationships/chartColorStyle" Target="colors58.xml"/><Relationship Id="rId1" Type="http://schemas.microsoft.com/office/2011/relationships/chartStyle" Target="style58.xml"/></Relationships>
</file>

<file path=xl/charts/_rels/chart59.xml.rels><?xml version="1.0" encoding="UTF-8" standalone="yes"?>
<Relationships xmlns="http://schemas.openxmlformats.org/package/2006/relationships"><Relationship Id="rId2" Type="http://schemas.microsoft.com/office/2011/relationships/chartColorStyle" Target="colors59.xml"/><Relationship Id="rId1" Type="http://schemas.microsoft.com/office/2011/relationships/chartStyle" Target="style59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60.xml"/><Relationship Id="rId1" Type="http://schemas.microsoft.com/office/2011/relationships/chartStyle" Target="style60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61.xml"/><Relationship Id="rId1" Type="http://schemas.microsoft.com/office/2011/relationships/chartStyle" Target="style61.xml"/></Relationships>
</file>

<file path=xl/charts/_rels/chart62.xml.rels><?xml version="1.0" encoding="UTF-8" standalone="yes"?>
<Relationships xmlns="http://schemas.openxmlformats.org/package/2006/relationships"><Relationship Id="rId2" Type="http://schemas.microsoft.com/office/2011/relationships/chartColorStyle" Target="colors62.xml"/><Relationship Id="rId1" Type="http://schemas.microsoft.com/office/2011/relationships/chartStyle" Target="style62.xml"/></Relationships>
</file>

<file path=xl/charts/_rels/chart63.xml.rels><?xml version="1.0" encoding="UTF-8" standalone="yes"?>
<Relationships xmlns="http://schemas.openxmlformats.org/package/2006/relationships"><Relationship Id="rId2" Type="http://schemas.microsoft.com/office/2011/relationships/chartColorStyle" Target="colors63.xml"/><Relationship Id="rId1" Type="http://schemas.microsoft.com/office/2011/relationships/chartStyle" Target="style63.xml"/></Relationships>
</file>

<file path=xl/charts/_rels/chart64.xml.rels><?xml version="1.0" encoding="UTF-8" standalone="yes"?>
<Relationships xmlns="http://schemas.openxmlformats.org/package/2006/relationships"><Relationship Id="rId2" Type="http://schemas.microsoft.com/office/2011/relationships/chartColorStyle" Target="colors64.xml"/><Relationship Id="rId1" Type="http://schemas.microsoft.com/office/2011/relationships/chartStyle" Target="style64.xml"/></Relationships>
</file>

<file path=xl/charts/_rels/chart65.xml.rels><?xml version="1.0" encoding="UTF-8" standalone="yes"?>
<Relationships xmlns="http://schemas.openxmlformats.org/package/2006/relationships"><Relationship Id="rId2" Type="http://schemas.microsoft.com/office/2011/relationships/chartColorStyle" Target="colors65.xml"/><Relationship Id="rId1" Type="http://schemas.microsoft.com/office/2011/relationships/chartStyle" Target="style65.xml"/></Relationships>
</file>

<file path=xl/charts/_rels/chart66.xml.rels><?xml version="1.0" encoding="UTF-8" standalone="yes"?>
<Relationships xmlns="http://schemas.openxmlformats.org/package/2006/relationships"><Relationship Id="rId2" Type="http://schemas.microsoft.com/office/2011/relationships/chartColorStyle" Target="colors66.xml"/><Relationship Id="rId1" Type="http://schemas.microsoft.com/office/2011/relationships/chartStyle" Target="style66.xml"/></Relationships>
</file>

<file path=xl/charts/_rels/chart67.xml.rels><?xml version="1.0" encoding="UTF-8" standalone="yes"?>
<Relationships xmlns="http://schemas.openxmlformats.org/package/2006/relationships"><Relationship Id="rId2" Type="http://schemas.microsoft.com/office/2011/relationships/chartColorStyle" Target="colors67.xml"/><Relationship Id="rId1" Type="http://schemas.microsoft.com/office/2011/relationships/chartStyle" Target="style67.xml"/></Relationships>
</file>

<file path=xl/charts/_rels/chart68.xml.rels><?xml version="1.0" encoding="UTF-8" standalone="yes"?>
<Relationships xmlns="http://schemas.openxmlformats.org/package/2006/relationships"><Relationship Id="rId2" Type="http://schemas.microsoft.com/office/2011/relationships/chartColorStyle" Target="colors68.xml"/><Relationship Id="rId1" Type="http://schemas.microsoft.com/office/2011/relationships/chartStyle" Target="style68.xml"/></Relationships>
</file>

<file path=xl/charts/_rels/chart69.xml.rels><?xml version="1.0" encoding="UTF-8" standalone="yes"?>
<Relationships xmlns="http://schemas.openxmlformats.org/package/2006/relationships"><Relationship Id="rId2" Type="http://schemas.microsoft.com/office/2011/relationships/chartColorStyle" Target="colors69.xml"/><Relationship Id="rId1" Type="http://schemas.microsoft.com/office/2011/relationships/chartStyle" Target="style69.xml"/></Relationships>
</file>

<file path=xl/charts/_rels/chart70.xml.rels><?xml version="1.0" encoding="UTF-8" standalone="yes"?>
<Relationships xmlns="http://schemas.openxmlformats.org/package/2006/relationships"><Relationship Id="rId2" Type="http://schemas.microsoft.com/office/2011/relationships/chartColorStyle" Target="colors70.xml"/><Relationship Id="rId1" Type="http://schemas.microsoft.com/office/2011/relationships/chartStyle" Target="style70.xml"/></Relationships>
</file>

<file path=xl/charts/_rels/chart71.xml.rels><?xml version="1.0" encoding="UTF-8" standalone="yes"?>
<Relationships xmlns="http://schemas.openxmlformats.org/package/2006/relationships"><Relationship Id="rId2" Type="http://schemas.microsoft.com/office/2011/relationships/chartColorStyle" Target="colors71.xml"/><Relationship Id="rId1" Type="http://schemas.microsoft.com/office/2011/relationships/chartStyle" Target="style71.xml"/></Relationships>
</file>

<file path=xl/charts/_rels/chart72.xml.rels><?xml version="1.0" encoding="UTF-8" standalone="yes"?>
<Relationships xmlns="http://schemas.openxmlformats.org/package/2006/relationships"><Relationship Id="rId2" Type="http://schemas.microsoft.com/office/2011/relationships/chartColorStyle" Target="colors72.xml"/><Relationship Id="rId1" Type="http://schemas.microsoft.com/office/2011/relationships/chartStyle" Target="style72.xml"/></Relationships>
</file>

<file path=xl/charts/_rels/chart73.xml.rels><?xml version="1.0" encoding="UTF-8" standalone="yes"?>
<Relationships xmlns="http://schemas.openxmlformats.org/package/2006/relationships"><Relationship Id="rId2" Type="http://schemas.microsoft.com/office/2011/relationships/chartColorStyle" Target="colors73.xml"/><Relationship Id="rId1" Type="http://schemas.microsoft.com/office/2011/relationships/chartStyle" Target="style73.xml"/></Relationships>
</file>

<file path=xl/charts/_rels/chart74.xml.rels><?xml version="1.0" encoding="UTF-8" standalone="yes"?>
<Relationships xmlns="http://schemas.openxmlformats.org/package/2006/relationships"><Relationship Id="rId2" Type="http://schemas.microsoft.com/office/2011/relationships/chartColorStyle" Target="colors74.xml"/><Relationship Id="rId1" Type="http://schemas.microsoft.com/office/2011/relationships/chartStyle" Target="style74.xml"/></Relationships>
</file>

<file path=xl/charts/_rels/chart75.xml.rels><?xml version="1.0" encoding="UTF-8" standalone="yes"?>
<Relationships xmlns="http://schemas.openxmlformats.org/package/2006/relationships"><Relationship Id="rId2" Type="http://schemas.microsoft.com/office/2011/relationships/chartColorStyle" Target="colors75.xml"/><Relationship Id="rId1" Type="http://schemas.microsoft.com/office/2011/relationships/chartStyle" Target="style75.xml"/></Relationships>
</file>

<file path=xl/charts/_rels/chart76.xml.rels><?xml version="1.0" encoding="UTF-8" standalone="yes"?>
<Relationships xmlns="http://schemas.openxmlformats.org/package/2006/relationships"><Relationship Id="rId2" Type="http://schemas.microsoft.com/office/2011/relationships/chartColorStyle" Target="colors76.xml"/><Relationship Id="rId1" Type="http://schemas.microsoft.com/office/2011/relationships/chartStyle" Target="style76.xml"/></Relationships>
</file>

<file path=xl/charts/_rels/chart77.xml.rels><?xml version="1.0" encoding="UTF-8" standalone="yes"?>
<Relationships xmlns="http://schemas.openxmlformats.org/package/2006/relationships"><Relationship Id="rId2" Type="http://schemas.microsoft.com/office/2011/relationships/chartColorStyle" Target="colors77.xml"/><Relationship Id="rId1" Type="http://schemas.microsoft.com/office/2011/relationships/chartStyle" Target="style77.xml"/></Relationships>
</file>

<file path=xl/charts/_rels/chart78.xml.rels><?xml version="1.0" encoding="UTF-8" standalone="yes"?>
<Relationships xmlns="http://schemas.openxmlformats.org/package/2006/relationships"><Relationship Id="rId2" Type="http://schemas.microsoft.com/office/2011/relationships/chartColorStyle" Target="colors78.xml"/><Relationship Id="rId1" Type="http://schemas.microsoft.com/office/2011/relationships/chartStyle" Target="style7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'0'!$A$1:$A$5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'0'!$B$1:$B$5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71-49C7-9C64-751C62DDE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'1'!$A$1:$A$5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'1'!$B$1:$B$5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BE-49ED-A693-93266FE3C4B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'1'!$C$1:$C$2</c:f>
              <c:numCache>
                <c:formatCode>General</c:formatCode>
                <c:ptCount val="2"/>
                <c:pt idx="0">
                  <c:v>2.3333333333333335</c:v>
                </c:pt>
                <c:pt idx="1">
                  <c:v>2</c:v>
                </c:pt>
              </c:numCache>
            </c:numRef>
          </c:xVal>
          <c:yVal>
            <c:numRef>
              <c:f>'1'!$D$1:$D$2</c:f>
              <c:numCache>
                <c:formatCode>General</c:formatCode>
                <c:ptCount val="2"/>
                <c:pt idx="0">
                  <c:v>1.6666666666666667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BE-49ED-A693-93266FE3C4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'2'!$A$1:$A$5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'2'!$B$1:$B$5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76-4EEF-9FA1-A1227BC0EFA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'2'!$H$1:$H$2</c:f>
              <c:numCache>
                <c:formatCode>General</c:formatCode>
                <c:ptCount val="2"/>
                <c:pt idx="0">
                  <c:v>2.3333333333333335</c:v>
                </c:pt>
                <c:pt idx="1">
                  <c:v>2</c:v>
                </c:pt>
              </c:numCache>
            </c:numRef>
          </c:xVal>
          <c:yVal>
            <c:numRef>
              <c:f>'2'!$I$1:$I$2</c:f>
              <c:numCache>
                <c:formatCode>General</c:formatCode>
                <c:ptCount val="2"/>
                <c:pt idx="0">
                  <c:v>1.6666666666666667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76-4EEF-9FA1-A1227BC0EF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'3'!$A$1:$A$5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'3'!$B$1:$B$5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A4-43D0-87D8-D9CB95BD554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'3'!$H$1:$H$2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xVal>
          <c:yVal>
            <c:numRef>
              <c:f>'3'!$I$1:$I$2</c:f>
              <c:numCache>
                <c:formatCode>General</c:formatCode>
                <c:ptCount val="2"/>
                <c:pt idx="0">
                  <c:v>1.75</c:v>
                </c:pt>
                <c:pt idx="1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BA4-43D0-87D8-D9CB95BD55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(2)'!$A$1:$A$5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'2 (2)'!$B$1:$B$5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09-41B5-B5FE-23E2886F8A6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(2)'!$C$1:$C$2</c:f>
              <c:numCache>
                <c:formatCode>General</c:formatCode>
                <c:ptCount val="2"/>
                <c:pt idx="0">
                  <c:v>2.3333333333333335</c:v>
                </c:pt>
                <c:pt idx="1">
                  <c:v>2</c:v>
                </c:pt>
              </c:numCache>
            </c:numRef>
          </c:xVal>
          <c:yVal>
            <c:numRef>
              <c:f>'2 (2)'!$D$1:$D$2</c:f>
              <c:numCache>
                <c:formatCode>General</c:formatCode>
                <c:ptCount val="2"/>
                <c:pt idx="0">
                  <c:v>1.6666666666666667</c:v>
                </c:pt>
                <c:pt idx="1">
                  <c:v>3.5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09-41B5-B5FE-23E2886F8A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(3)'!$A$1:$A$5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'2 (3)'!$B$1:$B$5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31-457C-9B1F-6AC4CC3FCFC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(3)'!$H$1:$H$2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xVal>
          <c:yVal>
            <c:numRef>
              <c:f>'2 (3)'!$I$1:$I$2</c:f>
              <c:numCache>
                <c:formatCode>General</c:formatCode>
                <c:ptCount val="2"/>
                <c:pt idx="0">
                  <c:v>2</c:v>
                </c:pt>
                <c:pt idx="1">
                  <c:v>2.6666666666666665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31-457C-9B1F-6AC4CC3FCF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(3)'!$A$1:$A$5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xVal>
          <c:yVal>
            <c:numRef>
              <c:f>'2 (3)'!$B$1:$B$5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FC-45DD-9168-AAC18BEFD98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(3)'!$H$9:$H$10</c:f>
              <c:numCache>
                <c:formatCode>General</c:formatCode>
                <c:ptCount val="2"/>
                <c:pt idx="0">
                  <c:v>1.3333333333333333</c:v>
                </c:pt>
                <c:pt idx="1">
                  <c:v>3.5</c:v>
                </c:pt>
              </c:numCache>
            </c:numRef>
          </c:xVal>
          <c:yVal>
            <c:numRef>
              <c:f>'2 (3)'!$I$9:$I$10</c:f>
              <c:numCache>
                <c:formatCode>General</c:formatCode>
                <c:ptCount val="2"/>
                <c:pt idx="0">
                  <c:v>2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FC-45DD-9168-AAC18BEFD9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(4)'!$A$1:$A$7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</c:numCache>
            </c:numRef>
          </c:xVal>
          <c:yVal>
            <c:numRef>
              <c:f>'2 (4)'!$B$1:$B$7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ED-4F0B-8CC3-14FF7026258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(4)'!$H$1:$H$2</c:f>
              <c:numCache>
                <c:formatCode>General</c:formatCode>
                <c:ptCount val="2"/>
                <c:pt idx="0">
                  <c:v>2.6666666666666665</c:v>
                </c:pt>
                <c:pt idx="1">
                  <c:v>2.3333333333333335</c:v>
                </c:pt>
              </c:numCache>
            </c:numRef>
          </c:xVal>
          <c:yVal>
            <c:numRef>
              <c:f>'2 (4)'!$I$1:$I$2</c:f>
              <c:numCache>
                <c:formatCode>General</c:formatCode>
                <c:ptCount val="2"/>
                <c:pt idx="0">
                  <c:v>2</c:v>
                </c:pt>
                <c:pt idx="1">
                  <c:v>2.3333333333333335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ED-4F0B-8CC3-14FF702625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(4)'!$A$1:$A$7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</c:numCache>
            </c:numRef>
          </c:xVal>
          <c:yVal>
            <c:numRef>
              <c:f>'2 (4)'!$B$1:$B$7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31A-453D-880A-2B11FD7F7A5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(4)'!$H$11:$H$12</c:f>
              <c:numCache>
                <c:formatCode>General</c:formatCode>
                <c:ptCount val="2"/>
                <c:pt idx="0">
                  <c:v>4</c:v>
                </c:pt>
                <c:pt idx="1">
                  <c:v>1.6</c:v>
                </c:pt>
              </c:numCache>
            </c:numRef>
          </c:xVal>
          <c:yVal>
            <c:numRef>
              <c:f>'2 (4)'!$I$11:$I$12</c:f>
              <c:numCache>
                <c:formatCode>General</c:formatCode>
                <c:ptCount val="2"/>
                <c:pt idx="0">
                  <c:v>1.5</c:v>
                </c:pt>
                <c:pt idx="1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1A-453D-880A-2B11FD7F7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(5)'!$A$1:$A$7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</c:numCache>
            </c:numRef>
          </c:xVal>
          <c:yVal>
            <c:numRef>
              <c:f>'2 (5)'!$B$1:$B$7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BA-455B-B106-65B50627EB3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(5)'!$J$1:$J$3</c:f>
              <c:numCache>
                <c:formatCode>General</c:formatCode>
                <c:ptCount val="3"/>
                <c:pt idx="0">
                  <c:v>2</c:v>
                </c:pt>
                <c:pt idx="1">
                  <c:v>2.3333333333333335</c:v>
                </c:pt>
                <c:pt idx="2">
                  <c:v>2.5</c:v>
                </c:pt>
              </c:numCache>
            </c:numRef>
          </c:xVal>
          <c:yVal>
            <c:numRef>
              <c:f>'2 (5)'!$K$1:$K$3</c:f>
              <c:numCache>
                <c:formatCode>General</c:formatCode>
                <c:ptCount val="3"/>
                <c:pt idx="0">
                  <c:v>2.5</c:v>
                </c:pt>
                <c:pt idx="1">
                  <c:v>2.3333333333333335</c:v>
                </c:pt>
                <c:pt idx="2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BA-455B-B106-65B50627E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(5)'!$A$1:$A$7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</c:numCache>
            </c:numRef>
          </c:xVal>
          <c:yVal>
            <c:numRef>
              <c:f>'2 (5)'!$B$1:$B$7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6E-4F12-85AC-C6F0C91EE70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(5)'!$J$11:$J$13</c:f>
              <c:numCache>
                <c:formatCode>General</c:formatCode>
                <c:ptCount val="3"/>
                <c:pt idx="0">
                  <c:v>1</c:v>
                </c:pt>
                <c:pt idx="1">
                  <c:v>2</c:v>
                </c:pt>
                <c:pt idx="2">
                  <c:v>0</c:v>
                </c:pt>
              </c:numCache>
            </c:numRef>
          </c:xVal>
          <c:yVal>
            <c:numRef>
              <c:f>'2 (5)'!$K$11:$K$14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6E-4F12-85AC-C6F0C91EE7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(6)'!$A$1:$A$7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</c:numCache>
            </c:numRef>
          </c:xVal>
          <c:yVal>
            <c:numRef>
              <c:f>'2 (6)'!$B$1:$B$7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CD-4E20-81BE-C794326C883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(6)'!$H$1:$H$2</c:f>
              <c:numCache>
                <c:formatCode>General</c:formatCode>
                <c:ptCount val="2"/>
                <c:pt idx="0">
                  <c:v>2.6666666666666665</c:v>
                </c:pt>
                <c:pt idx="1">
                  <c:v>2.3333333333333335</c:v>
                </c:pt>
              </c:numCache>
            </c:numRef>
          </c:xVal>
          <c:yVal>
            <c:numRef>
              <c:f>'2 (6)'!$I$1:$I$2</c:f>
              <c:numCache>
                <c:formatCode>General</c:formatCode>
                <c:ptCount val="2"/>
                <c:pt idx="0">
                  <c:v>2</c:v>
                </c:pt>
                <c:pt idx="1">
                  <c:v>2.3333333333333335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CD-4E20-81BE-C794326C88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(6)'!$A$1:$A$7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4</c:v>
                </c:pt>
                <c:pt idx="5">
                  <c:v>3</c:v>
                </c:pt>
                <c:pt idx="6">
                  <c:v>4</c:v>
                </c:pt>
              </c:numCache>
            </c:numRef>
          </c:xVal>
          <c:yVal>
            <c:numRef>
              <c:f>'2 (6)'!$B$1:$B$7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4</c:v>
                </c:pt>
                <c:pt idx="6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D0-4CA4-AC1F-7500BB678AB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(6)'!$H$11:$H$12</c:f>
              <c:numCache>
                <c:formatCode>General</c:formatCode>
                <c:ptCount val="2"/>
                <c:pt idx="0">
                  <c:v>4</c:v>
                </c:pt>
                <c:pt idx="1">
                  <c:v>1.6</c:v>
                </c:pt>
              </c:numCache>
            </c:numRef>
          </c:xVal>
          <c:yVal>
            <c:numRef>
              <c:f>'2 (6)'!$I$11:$I$12</c:f>
              <c:numCache>
                <c:formatCode>General</c:formatCode>
                <c:ptCount val="2"/>
                <c:pt idx="0">
                  <c:v>1.5</c:v>
                </c:pt>
                <c:pt idx="1">
                  <c:v>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D0-4CA4-AC1F-7500BB678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  <c:max val="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(7)'!$A$1:$A$9</c:f>
              <c:numCache>
                <c:formatCode>General</c:formatCode>
                <c:ptCount val="9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7</c:v>
                </c:pt>
                <c:pt idx="6">
                  <c:v>9</c:v>
                </c:pt>
                <c:pt idx="7">
                  <c:v>1</c:v>
                </c:pt>
                <c:pt idx="8">
                  <c:v>5</c:v>
                </c:pt>
              </c:numCache>
            </c:numRef>
          </c:xVal>
          <c:yVal>
            <c:numRef>
              <c:f>'2 (7)'!$B$1:$B$9</c:f>
              <c:numCache>
                <c:formatCode>General</c:formatCode>
                <c:ptCount val="9"/>
                <c:pt idx="0">
                  <c:v>3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89B-445B-9FCC-05A6B79AECF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(7)'!$J$1:$J$3</c:f>
              <c:numCache>
                <c:formatCode>General</c:formatCode>
                <c:ptCount val="3"/>
                <c:pt idx="0">
                  <c:v>4.666666666666667</c:v>
                </c:pt>
                <c:pt idx="1">
                  <c:v>7.666666666666667</c:v>
                </c:pt>
                <c:pt idx="2">
                  <c:v>5</c:v>
                </c:pt>
              </c:numCache>
            </c:numRef>
          </c:xVal>
          <c:yVal>
            <c:numRef>
              <c:f>'2 (7)'!$K$1:$K$3</c:f>
              <c:numCache>
                <c:formatCode>General</c:formatCode>
                <c:ptCount val="3"/>
                <c:pt idx="0">
                  <c:v>4</c:v>
                </c:pt>
                <c:pt idx="1">
                  <c:v>3.6666666666666665</c:v>
                </c:pt>
                <c:pt idx="2">
                  <c:v>4.666666666666667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89B-445B-9FCC-05A6B79AEC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(7)'!$A$1:$A$9</c:f>
              <c:numCache>
                <c:formatCode>General</c:formatCode>
                <c:ptCount val="9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7</c:v>
                </c:pt>
                <c:pt idx="6">
                  <c:v>9</c:v>
                </c:pt>
                <c:pt idx="7">
                  <c:v>1</c:v>
                </c:pt>
                <c:pt idx="8">
                  <c:v>5</c:v>
                </c:pt>
              </c:numCache>
            </c:numRef>
          </c:xVal>
          <c:yVal>
            <c:numRef>
              <c:f>'2 (7)'!$B$1:$B$9</c:f>
              <c:numCache>
                <c:formatCode>General</c:formatCode>
                <c:ptCount val="9"/>
                <c:pt idx="0">
                  <c:v>3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4D-44DD-B873-903957E85F7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(7)'!$J$13:$J$15</c:f>
              <c:numCache>
                <c:formatCode>General</c:formatCode>
                <c:ptCount val="3"/>
                <c:pt idx="0">
                  <c:v>3</c:v>
                </c:pt>
                <c:pt idx="1">
                  <c:v>8.5</c:v>
                </c:pt>
                <c:pt idx="2">
                  <c:v>6</c:v>
                </c:pt>
              </c:numCache>
            </c:numRef>
          </c:xVal>
          <c:yVal>
            <c:numRef>
              <c:f>'2 (7)'!$K$13:$K$16</c:f>
              <c:numCache>
                <c:formatCode>General</c:formatCode>
                <c:ptCount val="4"/>
                <c:pt idx="0">
                  <c:v>3.25</c:v>
                </c:pt>
                <c:pt idx="1">
                  <c:v>4</c:v>
                </c:pt>
                <c:pt idx="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4D-44DD-B873-903957E85F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(8)'!$A$1:$A$9</c:f>
              <c:numCache>
                <c:formatCode>General</c:formatCode>
                <c:ptCount val="9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7</c:v>
                </c:pt>
                <c:pt idx="6">
                  <c:v>9</c:v>
                </c:pt>
                <c:pt idx="7">
                  <c:v>1</c:v>
                </c:pt>
                <c:pt idx="8">
                  <c:v>5</c:v>
                </c:pt>
              </c:numCache>
            </c:numRef>
          </c:xVal>
          <c:yVal>
            <c:numRef>
              <c:f>'2 (8)'!$B$1:$B$9</c:f>
              <c:numCache>
                <c:formatCode>General</c:formatCode>
                <c:ptCount val="9"/>
                <c:pt idx="0">
                  <c:v>3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6C-4791-A25A-41BE41CE0CE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(8)'!$J$1:$J$3</c:f>
              <c:numCache>
                <c:formatCode>General</c:formatCode>
                <c:ptCount val="3"/>
                <c:pt idx="0">
                  <c:v>4.666666666666667</c:v>
                </c:pt>
                <c:pt idx="1">
                  <c:v>7.666666666666667</c:v>
                </c:pt>
                <c:pt idx="2">
                  <c:v>5</c:v>
                </c:pt>
              </c:numCache>
            </c:numRef>
          </c:xVal>
          <c:yVal>
            <c:numRef>
              <c:f>'2 (8)'!$K$1:$K$3</c:f>
              <c:numCache>
                <c:formatCode>General</c:formatCode>
                <c:ptCount val="3"/>
                <c:pt idx="0">
                  <c:v>4</c:v>
                </c:pt>
                <c:pt idx="1">
                  <c:v>3.6666666666666665</c:v>
                </c:pt>
                <c:pt idx="2">
                  <c:v>4.666666666666667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46C-4791-A25A-41BE41CE0C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(8)'!$A$1:$A$9</c:f>
              <c:numCache>
                <c:formatCode>General</c:formatCode>
                <c:ptCount val="9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7</c:v>
                </c:pt>
                <c:pt idx="6">
                  <c:v>9</c:v>
                </c:pt>
                <c:pt idx="7">
                  <c:v>1</c:v>
                </c:pt>
                <c:pt idx="8">
                  <c:v>5</c:v>
                </c:pt>
              </c:numCache>
            </c:numRef>
          </c:xVal>
          <c:yVal>
            <c:numRef>
              <c:f>'2 (8)'!$B$1:$B$9</c:f>
              <c:numCache>
                <c:formatCode>General</c:formatCode>
                <c:ptCount val="9"/>
                <c:pt idx="0">
                  <c:v>3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E42-4696-9133-E124A49737B1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(8)'!$J$13:$J$15</c:f>
              <c:numCache>
                <c:formatCode>General</c:formatCode>
                <c:ptCount val="3"/>
                <c:pt idx="0">
                  <c:v>3</c:v>
                </c:pt>
                <c:pt idx="1">
                  <c:v>8.5</c:v>
                </c:pt>
                <c:pt idx="2">
                  <c:v>6</c:v>
                </c:pt>
              </c:numCache>
            </c:numRef>
          </c:xVal>
          <c:yVal>
            <c:numRef>
              <c:f>'2 (8)'!$K$13:$K$16</c:f>
              <c:numCache>
                <c:formatCode>General</c:formatCode>
                <c:ptCount val="4"/>
                <c:pt idx="0">
                  <c:v>3.25</c:v>
                </c:pt>
                <c:pt idx="1">
                  <c:v>4</c:v>
                </c:pt>
                <c:pt idx="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E42-4696-9133-E124A49737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(9)'!$A$1:$A$9</c:f>
              <c:numCache>
                <c:formatCode>General</c:formatCode>
                <c:ptCount val="9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7</c:v>
                </c:pt>
                <c:pt idx="6">
                  <c:v>9</c:v>
                </c:pt>
                <c:pt idx="7">
                  <c:v>1</c:v>
                </c:pt>
                <c:pt idx="8">
                  <c:v>5</c:v>
                </c:pt>
              </c:numCache>
            </c:numRef>
          </c:xVal>
          <c:yVal>
            <c:numRef>
              <c:f>'2 (9)'!$B$1:$B$9</c:f>
              <c:numCache>
                <c:formatCode>General</c:formatCode>
                <c:ptCount val="9"/>
                <c:pt idx="0">
                  <c:v>3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6F-4BB7-A50E-548B464E57E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(9)'!$J$1:$J$3</c:f>
              <c:numCache>
                <c:formatCode>General</c:formatCode>
                <c:ptCount val="3"/>
                <c:pt idx="0">
                  <c:v>4.666666666666667</c:v>
                </c:pt>
                <c:pt idx="1">
                  <c:v>7.666666666666667</c:v>
                </c:pt>
                <c:pt idx="2">
                  <c:v>5</c:v>
                </c:pt>
              </c:numCache>
            </c:numRef>
          </c:xVal>
          <c:yVal>
            <c:numRef>
              <c:f>'2 (9)'!$K$1:$K$3</c:f>
              <c:numCache>
                <c:formatCode>General</c:formatCode>
                <c:ptCount val="3"/>
                <c:pt idx="0">
                  <c:v>4</c:v>
                </c:pt>
                <c:pt idx="1">
                  <c:v>3.6666666666666665</c:v>
                </c:pt>
                <c:pt idx="2">
                  <c:v>4.666666666666667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16F-4BB7-A50E-548B464E57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(9)'!$A$1:$A$9</c:f>
              <c:numCache>
                <c:formatCode>General</c:formatCode>
                <c:ptCount val="9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7</c:v>
                </c:pt>
                <c:pt idx="6">
                  <c:v>9</c:v>
                </c:pt>
                <c:pt idx="7">
                  <c:v>1</c:v>
                </c:pt>
                <c:pt idx="8">
                  <c:v>5</c:v>
                </c:pt>
              </c:numCache>
            </c:numRef>
          </c:xVal>
          <c:yVal>
            <c:numRef>
              <c:f>'2 (9)'!$B$1:$B$9</c:f>
              <c:numCache>
                <c:formatCode>General</c:formatCode>
                <c:ptCount val="9"/>
                <c:pt idx="0">
                  <c:v>3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5EB-4C42-AA8E-6204B37BF89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(9)'!$J$13:$J$15</c:f>
              <c:numCache>
                <c:formatCode>General</c:formatCode>
                <c:ptCount val="3"/>
                <c:pt idx="0">
                  <c:v>3</c:v>
                </c:pt>
                <c:pt idx="1">
                  <c:v>8.5</c:v>
                </c:pt>
                <c:pt idx="2">
                  <c:v>6</c:v>
                </c:pt>
              </c:numCache>
            </c:numRef>
          </c:xVal>
          <c:yVal>
            <c:numRef>
              <c:f>'2 (9)'!$K$13:$K$16</c:f>
              <c:numCache>
                <c:formatCode>General</c:formatCode>
                <c:ptCount val="4"/>
                <c:pt idx="0">
                  <c:v>3.25</c:v>
                </c:pt>
                <c:pt idx="1">
                  <c:v>4</c:v>
                </c:pt>
                <c:pt idx="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5EB-4C42-AA8E-6204B37BF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(10)'!$A$1:$A$9</c:f>
              <c:numCache>
                <c:formatCode>General</c:formatCode>
                <c:ptCount val="9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7</c:v>
                </c:pt>
                <c:pt idx="6">
                  <c:v>9</c:v>
                </c:pt>
                <c:pt idx="7">
                  <c:v>1</c:v>
                </c:pt>
                <c:pt idx="8">
                  <c:v>5</c:v>
                </c:pt>
              </c:numCache>
            </c:numRef>
          </c:xVal>
          <c:yVal>
            <c:numRef>
              <c:f>'2 (10)'!$B$1:$B$9</c:f>
              <c:numCache>
                <c:formatCode>General</c:formatCode>
                <c:ptCount val="9"/>
                <c:pt idx="0">
                  <c:v>3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40-4245-A9F6-F9BD40A5A36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(10)'!$J$1:$J$3</c:f>
              <c:numCache>
                <c:formatCode>General</c:formatCode>
                <c:ptCount val="3"/>
                <c:pt idx="0">
                  <c:v>4.666666666666667</c:v>
                </c:pt>
                <c:pt idx="1">
                  <c:v>7.666666666666667</c:v>
                </c:pt>
                <c:pt idx="2">
                  <c:v>5</c:v>
                </c:pt>
              </c:numCache>
            </c:numRef>
          </c:xVal>
          <c:yVal>
            <c:numRef>
              <c:f>'2 (10)'!$K$1:$K$3</c:f>
              <c:numCache>
                <c:formatCode>General</c:formatCode>
                <c:ptCount val="3"/>
                <c:pt idx="0">
                  <c:v>4</c:v>
                </c:pt>
                <c:pt idx="1">
                  <c:v>3.6666666666666665</c:v>
                </c:pt>
                <c:pt idx="2">
                  <c:v>4.666666666666667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740-4245-A9F6-F9BD40A5A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(10)'!$A$1:$A$9</c:f>
              <c:numCache>
                <c:formatCode>General</c:formatCode>
                <c:ptCount val="9"/>
                <c:pt idx="0">
                  <c:v>2</c:v>
                </c:pt>
                <c:pt idx="1">
                  <c:v>8</c:v>
                </c:pt>
                <c:pt idx="2">
                  <c:v>4</c:v>
                </c:pt>
                <c:pt idx="3">
                  <c:v>6</c:v>
                </c:pt>
                <c:pt idx="4">
                  <c:v>10</c:v>
                </c:pt>
                <c:pt idx="5">
                  <c:v>7</c:v>
                </c:pt>
                <c:pt idx="6">
                  <c:v>9</c:v>
                </c:pt>
                <c:pt idx="7">
                  <c:v>1</c:v>
                </c:pt>
                <c:pt idx="8">
                  <c:v>5</c:v>
                </c:pt>
              </c:numCache>
            </c:numRef>
          </c:xVal>
          <c:yVal>
            <c:numRef>
              <c:f>'2 (10)'!$B$1:$B$9</c:f>
              <c:numCache>
                <c:formatCode>General</c:formatCode>
                <c:ptCount val="9"/>
                <c:pt idx="0">
                  <c:v>3</c:v>
                </c:pt>
                <c:pt idx="1">
                  <c:v>8</c:v>
                </c:pt>
                <c:pt idx="2">
                  <c:v>1</c:v>
                </c:pt>
                <c:pt idx="3">
                  <c:v>8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03-42A4-B1E9-1A6856A22F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(10)'!$J$13:$J$15</c:f>
              <c:numCache>
                <c:formatCode>General</c:formatCode>
                <c:ptCount val="3"/>
                <c:pt idx="0">
                  <c:v>3</c:v>
                </c:pt>
                <c:pt idx="1">
                  <c:v>8.5</c:v>
                </c:pt>
                <c:pt idx="2">
                  <c:v>6</c:v>
                </c:pt>
              </c:numCache>
            </c:numRef>
          </c:xVal>
          <c:yVal>
            <c:numRef>
              <c:f>'2 (10)'!$K$13:$K$16</c:f>
              <c:numCache>
                <c:formatCode>General</c:formatCode>
                <c:ptCount val="4"/>
                <c:pt idx="0">
                  <c:v>3.25</c:v>
                </c:pt>
                <c:pt idx="1">
                  <c:v>4</c:v>
                </c:pt>
                <c:pt idx="2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803-42A4-B1E9-1A6856A22F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(11)'!$A$1:$A$9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'2 (11)'!$B$1:$B$9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AC-49C2-849F-E6BB3181698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(11)'!$J$1:$J$3</c:f>
              <c:numCache>
                <c:formatCode>General</c:formatCode>
                <c:ptCount val="3"/>
                <c:pt idx="0">
                  <c:v>2.6666666666666665</c:v>
                </c:pt>
                <c:pt idx="1">
                  <c:v>2.3333333333333335</c:v>
                </c:pt>
                <c:pt idx="2">
                  <c:v>2.6666666666666665</c:v>
                </c:pt>
              </c:numCache>
            </c:numRef>
          </c:xVal>
          <c:yVal>
            <c:numRef>
              <c:f>'2 (11)'!$K$1:$K$3</c:f>
              <c:numCache>
                <c:formatCode>General</c:formatCode>
                <c:ptCount val="3"/>
                <c:pt idx="0">
                  <c:v>2.3333333333333335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AC-49C2-849F-E6BB318169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(11)'!$A$1:$A$9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'2 (11)'!$B$1:$B$9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F4E-441F-AB56-E4526A1A306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(11)'!$J$13:$J$15</c:f>
              <c:numCache>
                <c:formatCode>General</c:formatCode>
                <c:ptCount val="3"/>
                <c:pt idx="0">
                  <c:v>3</c:v>
                </c:pt>
                <c:pt idx="1">
                  <c:v>1.5</c:v>
                </c:pt>
                <c:pt idx="2">
                  <c:v>5</c:v>
                </c:pt>
              </c:numCache>
            </c:numRef>
          </c:xVal>
          <c:yVal>
            <c:numRef>
              <c:f>'2 (11)'!$K$13:$K$16</c:f>
              <c:numCache>
                <c:formatCode>General</c:formatCode>
                <c:ptCount val="4"/>
                <c:pt idx="0">
                  <c:v>1.75</c:v>
                </c:pt>
                <c:pt idx="1">
                  <c:v>3.75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F4E-441F-AB56-E4526A1A30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(11)'!$A$1:$A$9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'2 (11)'!$B$1:$B$9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41-4DE8-B86C-67768B629E7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(11)'!$J$25:$J$27</c:f>
              <c:numCache>
                <c:formatCode>General</c:formatCode>
                <c:ptCount val="3"/>
                <c:pt idx="0">
                  <c:v>2.3333333333333335</c:v>
                </c:pt>
                <c:pt idx="1">
                  <c:v>1.5</c:v>
                </c:pt>
                <c:pt idx="2">
                  <c:v>5</c:v>
                </c:pt>
              </c:numCache>
            </c:numRef>
          </c:xVal>
          <c:yVal>
            <c:numRef>
              <c:f>'2 (11)'!$K$25:$K$27</c:f>
              <c:numCache>
                <c:formatCode>General</c:formatCode>
                <c:ptCount val="3"/>
                <c:pt idx="0">
                  <c:v>1.6666666666666667</c:v>
                </c:pt>
                <c:pt idx="1">
                  <c:v>3.75</c:v>
                </c:pt>
                <c:pt idx="2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41-4DE8-B86C-67768B629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(12)'!$A$1:$A$9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'2 (12)'!$B$1:$B$9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93B-4770-BB9B-E30C5B2C755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(12)'!$J$1:$J$3</c:f>
              <c:numCache>
                <c:formatCode>General</c:formatCode>
                <c:ptCount val="3"/>
                <c:pt idx="0">
                  <c:v>2.6666666666666665</c:v>
                </c:pt>
                <c:pt idx="1">
                  <c:v>2.3333333333333335</c:v>
                </c:pt>
                <c:pt idx="2">
                  <c:v>2.6666666666666665</c:v>
                </c:pt>
              </c:numCache>
            </c:numRef>
          </c:xVal>
          <c:yVal>
            <c:numRef>
              <c:f>'2 (12)'!$K$1:$K$3</c:f>
              <c:numCache>
                <c:formatCode>General</c:formatCode>
                <c:ptCount val="3"/>
                <c:pt idx="0">
                  <c:v>2.3333333333333335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93B-4770-BB9B-E30C5B2C7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(12)'!$A$1:$A$9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'2 (12)'!$B$1:$B$9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D-441C-93D6-6E4D263E72E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(12)'!$J$13:$J$15</c:f>
              <c:numCache>
                <c:formatCode>General</c:formatCode>
                <c:ptCount val="3"/>
                <c:pt idx="0">
                  <c:v>3</c:v>
                </c:pt>
                <c:pt idx="1">
                  <c:v>1.5</c:v>
                </c:pt>
                <c:pt idx="2">
                  <c:v>5</c:v>
                </c:pt>
              </c:numCache>
            </c:numRef>
          </c:xVal>
          <c:yVal>
            <c:numRef>
              <c:f>'2 (12)'!$K$13:$K$16</c:f>
              <c:numCache>
                <c:formatCode>General</c:formatCode>
                <c:ptCount val="4"/>
                <c:pt idx="0">
                  <c:v>1.75</c:v>
                </c:pt>
                <c:pt idx="1">
                  <c:v>3.75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65D-441C-93D6-6E4D263E7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(12)'!$A$1:$A$9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'2 (12)'!$B$1:$B$9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49-4E0E-BA8E-CE50932CF329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(12)'!$J$25:$J$27</c:f>
              <c:numCache>
                <c:formatCode>General</c:formatCode>
                <c:ptCount val="3"/>
                <c:pt idx="0">
                  <c:v>2.3333333333333335</c:v>
                </c:pt>
                <c:pt idx="1">
                  <c:v>1.5</c:v>
                </c:pt>
                <c:pt idx="2">
                  <c:v>5</c:v>
                </c:pt>
              </c:numCache>
            </c:numRef>
          </c:xVal>
          <c:yVal>
            <c:numRef>
              <c:f>'2 (12)'!$K$25:$K$27</c:f>
              <c:numCache>
                <c:formatCode>General</c:formatCode>
                <c:ptCount val="3"/>
                <c:pt idx="0">
                  <c:v>1.6666666666666667</c:v>
                </c:pt>
                <c:pt idx="1">
                  <c:v>3.75</c:v>
                </c:pt>
                <c:pt idx="2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49-4E0E-BA8E-CE50932CF3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(13)'!$A$1:$A$9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'2 (13)'!$B$1:$B$9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6C-404C-9B0D-75608AE30F3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(13)'!$J$1:$J$3</c:f>
              <c:numCache>
                <c:formatCode>General</c:formatCode>
                <c:ptCount val="3"/>
                <c:pt idx="0">
                  <c:v>2.6666666666666665</c:v>
                </c:pt>
                <c:pt idx="1">
                  <c:v>2.3333333333333335</c:v>
                </c:pt>
                <c:pt idx="2">
                  <c:v>2.6666666666666665</c:v>
                </c:pt>
              </c:numCache>
            </c:numRef>
          </c:xVal>
          <c:yVal>
            <c:numRef>
              <c:f>'2 (13)'!$K$1:$K$3</c:f>
              <c:numCache>
                <c:formatCode>General</c:formatCode>
                <c:ptCount val="3"/>
                <c:pt idx="0">
                  <c:v>2.3333333333333335</c:v>
                </c:pt>
                <c:pt idx="1">
                  <c:v>3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36C-404C-9B0D-75608AE30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(13)'!$A$1:$A$9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'2 (13)'!$B$1:$B$9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02-4110-98F4-9678DA64906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(13)'!$J$13:$J$15</c:f>
              <c:numCache>
                <c:formatCode>General</c:formatCode>
                <c:ptCount val="3"/>
                <c:pt idx="0">
                  <c:v>3</c:v>
                </c:pt>
                <c:pt idx="1">
                  <c:v>1.5</c:v>
                </c:pt>
                <c:pt idx="2">
                  <c:v>5</c:v>
                </c:pt>
              </c:numCache>
            </c:numRef>
          </c:xVal>
          <c:yVal>
            <c:numRef>
              <c:f>'2 (13)'!$K$13:$K$16</c:f>
              <c:numCache>
                <c:formatCode>General</c:formatCode>
                <c:ptCount val="4"/>
                <c:pt idx="0">
                  <c:v>1.75</c:v>
                </c:pt>
                <c:pt idx="1">
                  <c:v>3.75</c:v>
                </c:pt>
                <c:pt idx="2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02-4110-98F4-9678DA649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(13)'!$A$1:$A$9</c:f>
              <c:numCache>
                <c:formatCode>General</c:formatCode>
                <c:ptCount val="9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5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'2 (13)'!$B$1:$B$9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  <c:pt idx="7">
                  <c:v>2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C01-4777-971E-54937575A65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(13)'!$J$25:$J$27</c:f>
              <c:numCache>
                <c:formatCode>General</c:formatCode>
                <c:ptCount val="3"/>
                <c:pt idx="0">
                  <c:v>2.3333333333333335</c:v>
                </c:pt>
                <c:pt idx="1">
                  <c:v>1.5</c:v>
                </c:pt>
                <c:pt idx="2">
                  <c:v>5</c:v>
                </c:pt>
              </c:numCache>
            </c:numRef>
          </c:xVal>
          <c:yVal>
            <c:numRef>
              <c:f>'2 (13)'!$K$25:$K$27</c:f>
              <c:numCache>
                <c:formatCode>General</c:formatCode>
                <c:ptCount val="3"/>
                <c:pt idx="0">
                  <c:v>1.6666666666666667</c:v>
                </c:pt>
                <c:pt idx="1">
                  <c:v>3.75</c:v>
                </c:pt>
                <c:pt idx="2">
                  <c:v>2.5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C01-4777-971E-54937575A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(13)'!$Y$1:$Y$9</c:f>
              <c:numCache>
                <c:formatCode>General</c:formatCode>
                <c:ptCount val="9"/>
                <c:pt idx="0">
                  <c:v>2.6666666666666665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(13)'!$Z$1:$Z$9</c:f>
              <c:numCache>
                <c:formatCode>General</c:formatCode>
                <c:ptCount val="9"/>
                <c:pt idx="0">
                  <c:v>2.3333333333333335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DD-4194-8815-68CE480D97BD}"/>
            </c:ext>
          </c:extLst>
        </c:ser>
        <c:ser>
          <c:idx val="4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(13)'!$AA$1:$AA$9</c:f>
              <c:numCache>
                <c:formatCode>General</c:formatCode>
                <c:ptCount val="9"/>
                <c:pt idx="0">
                  <c:v>2.3333333333333335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(13)'!$AB$1:$AB$9</c:f>
              <c:numCache>
                <c:formatCode>General</c:formatCode>
                <c:ptCount val="9"/>
                <c:pt idx="0">
                  <c:v>3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DD-4194-8815-68CE480D97BD}"/>
            </c:ext>
          </c:extLst>
        </c:ser>
        <c:ser>
          <c:idx val="5"/>
          <c:order val="2"/>
          <c:spPr>
            <a:ln w="1905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(13)'!$AC$1:$AC$9</c:f>
              <c:numCache>
                <c:formatCode>General</c:formatCode>
                <c:ptCount val="9"/>
                <c:pt idx="0">
                  <c:v>2.6666666666666665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(13)'!$AD$1:$AD$9</c:f>
              <c:numCache>
                <c:formatCode>General</c:formatCode>
                <c:ptCount val="9"/>
                <c:pt idx="0">
                  <c:v>3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DD-4194-8815-68CE480D97BD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(13)'!$S$1:$S$9</c:f>
              <c:numCache>
                <c:formatCode>General</c:formatCode>
                <c:ptCount val="9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2</c:v>
                </c:pt>
                <c:pt idx="4">
                  <c:v>-1</c:v>
                </c:pt>
                <c:pt idx="5">
                  <c:v>-1</c:v>
                </c:pt>
                <c:pt idx="6">
                  <c:v>5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(13)'!$T$1:$T$9</c:f>
              <c:numCache>
                <c:formatCode>General</c:formatCode>
                <c:ptCount val="9"/>
                <c:pt idx="0">
                  <c:v>1</c:v>
                </c:pt>
                <c:pt idx="1">
                  <c:v>-1</c:v>
                </c:pt>
                <c:pt idx="2">
                  <c:v>-1</c:v>
                </c:pt>
                <c:pt idx="3">
                  <c:v>4</c:v>
                </c:pt>
                <c:pt idx="4">
                  <c:v>-1</c:v>
                </c:pt>
                <c:pt idx="5">
                  <c:v>-1</c:v>
                </c:pt>
                <c:pt idx="6">
                  <c:v>2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D-4194-8815-68CE480D97BD}"/>
            </c:ext>
          </c:extLst>
        </c:ser>
        <c:ser>
          <c:idx val="1"/>
          <c:order val="4"/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(13)'!$U$1:$U$9</c:f>
              <c:numCache>
                <c:formatCode>General</c:formatCode>
                <c:ptCount val="9"/>
                <c:pt idx="0">
                  <c:v>-1</c:v>
                </c:pt>
                <c:pt idx="1">
                  <c:v>1</c:v>
                </c:pt>
                <c:pt idx="2">
                  <c:v>-1</c:v>
                </c:pt>
                <c:pt idx="3">
                  <c:v>-1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4</c:v>
                </c:pt>
                <c:pt idx="8">
                  <c:v>-1</c:v>
                </c:pt>
              </c:numCache>
            </c:numRef>
          </c:xVal>
          <c:yVal>
            <c:numRef>
              <c:f>'2 (13)'!$V$1:$V$9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-1</c:v>
                </c:pt>
                <c:pt idx="3">
                  <c:v>-1</c:v>
                </c:pt>
                <c:pt idx="4">
                  <c:v>5</c:v>
                </c:pt>
                <c:pt idx="5">
                  <c:v>-1</c:v>
                </c:pt>
                <c:pt idx="6">
                  <c:v>-1</c:v>
                </c:pt>
                <c:pt idx="7">
                  <c:v>2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DD-4194-8815-68CE480D97BD}"/>
            </c:ext>
          </c:extLst>
        </c:ser>
        <c:ser>
          <c:idx val="2"/>
          <c:order val="5"/>
          <c:spPr>
            <a:ln w="1905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(13)'!$W$1:$W$9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2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5</c:v>
                </c:pt>
              </c:numCache>
            </c:numRef>
          </c:xVal>
          <c:yVal>
            <c:numRef>
              <c:f>'2 (13)'!$X$1:$X$9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2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DD-4194-8815-68CE480D9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(13)'!$Y$13:$Y$21</c:f>
              <c:numCache>
                <c:formatCode>General</c:formatCode>
                <c:ptCount val="9"/>
                <c:pt idx="0">
                  <c:v>3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(13)'!$Z$13:$Z$21</c:f>
              <c:numCache>
                <c:formatCode>General</c:formatCode>
                <c:ptCount val="9"/>
                <c:pt idx="0">
                  <c:v>1.75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DD-4194-8815-68CE480D97BD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(13)'!$AA$13:$AA$21</c:f>
              <c:numCache>
                <c:formatCode>General</c:formatCode>
                <c:ptCount val="9"/>
                <c:pt idx="0">
                  <c:v>1.5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(13)'!$AB$13:$AB$21</c:f>
              <c:numCache>
                <c:formatCode>General</c:formatCode>
                <c:ptCount val="9"/>
                <c:pt idx="0">
                  <c:v>3.75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DD-4194-8815-68CE480D97BD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(13)'!$AC$13:$AC$21</c:f>
              <c:numCache>
                <c:formatCode>General</c:formatCode>
                <c:ptCount val="9"/>
                <c:pt idx="0">
                  <c:v>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(13)'!$AD$13:$AD$21</c:f>
              <c:numCache>
                <c:formatCode>General</c:formatCode>
                <c:ptCount val="9"/>
                <c:pt idx="0">
                  <c:v>3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DD-4194-8815-68CE480D97BD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(13)'!$S$13:$S$21</c:f>
              <c:numCache>
                <c:formatCode>General</c:formatCode>
                <c:ptCount val="9"/>
                <c:pt idx="0">
                  <c:v>1</c:v>
                </c:pt>
                <c:pt idx="1">
                  <c:v>-1</c:v>
                </c:pt>
                <c:pt idx="2">
                  <c:v>2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5</c:v>
                </c:pt>
                <c:pt idx="7">
                  <c:v>4</c:v>
                </c:pt>
                <c:pt idx="8">
                  <c:v>-1</c:v>
                </c:pt>
              </c:numCache>
            </c:numRef>
          </c:xVal>
          <c:yVal>
            <c:numRef>
              <c:f>'2 (13)'!$T$13:$T$21</c:f>
              <c:numCache>
                <c:formatCode>General</c:formatCode>
                <c:ptCount val="9"/>
                <c:pt idx="0">
                  <c:v>1</c:v>
                </c:pt>
                <c:pt idx="1">
                  <c:v>-1</c:v>
                </c:pt>
                <c:pt idx="2">
                  <c:v>2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2</c:v>
                </c:pt>
                <c:pt idx="7">
                  <c:v>2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D-4194-8815-68CE480D97BD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(13)'!$U$13:$U$21</c:f>
              <c:numCache>
                <c:formatCode>General</c:formatCode>
                <c:ptCount val="9"/>
                <c:pt idx="0">
                  <c:v>-1</c:v>
                </c:pt>
                <c:pt idx="1">
                  <c:v>1</c:v>
                </c:pt>
                <c:pt idx="2">
                  <c:v>-1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(13)'!$V$13:$V$21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-1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DD-4194-8815-68CE480D97BD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(13)'!$W$13:$W$21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5</c:v>
                </c:pt>
              </c:numCache>
            </c:numRef>
          </c:xVal>
          <c:yVal>
            <c:numRef>
              <c:f>'2 (13)'!$X$13:$X$21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DD-4194-8815-68CE480D9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(13)'!$Y$25:$Y$33</c:f>
              <c:numCache>
                <c:formatCode>General</c:formatCode>
                <c:ptCount val="9"/>
                <c:pt idx="0">
                  <c:v>2.3333333333333335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(13)'!$Z$25:$Z$33</c:f>
              <c:numCache>
                <c:formatCode>General</c:formatCode>
                <c:ptCount val="9"/>
                <c:pt idx="0">
                  <c:v>1.6666666666666667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2DD-4194-8815-68CE480D97BD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(13)'!$AA$25:$AA$33</c:f>
              <c:numCache>
                <c:formatCode>General</c:formatCode>
                <c:ptCount val="9"/>
                <c:pt idx="0">
                  <c:v>1.5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(13)'!$AB$25:$AB$33</c:f>
              <c:numCache>
                <c:formatCode>General</c:formatCode>
                <c:ptCount val="9"/>
                <c:pt idx="0">
                  <c:v>3.75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2DD-4194-8815-68CE480D97BD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(13)'!$AC$25:$AC$33</c:f>
              <c:numCache>
                <c:formatCode>General</c:formatCode>
                <c:ptCount val="9"/>
                <c:pt idx="0">
                  <c:v>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(13)'!$AD$25:$AD$33</c:f>
              <c:numCache>
                <c:formatCode>General</c:formatCode>
                <c:ptCount val="9"/>
                <c:pt idx="0">
                  <c:v>2.5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2DD-4194-8815-68CE480D97BD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(13)'!$S$25:$S$33</c:f>
              <c:numCache>
                <c:formatCode>General</c:formatCode>
                <c:ptCount val="9"/>
                <c:pt idx="0">
                  <c:v>1</c:v>
                </c:pt>
                <c:pt idx="1">
                  <c:v>-1</c:v>
                </c:pt>
                <c:pt idx="2">
                  <c:v>2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4</c:v>
                </c:pt>
                <c:pt idx="8">
                  <c:v>-1</c:v>
                </c:pt>
              </c:numCache>
            </c:numRef>
          </c:xVal>
          <c:yVal>
            <c:numRef>
              <c:f>'2 (13)'!$T$25:$T$33</c:f>
              <c:numCache>
                <c:formatCode>General</c:formatCode>
                <c:ptCount val="9"/>
                <c:pt idx="0">
                  <c:v>1</c:v>
                </c:pt>
                <c:pt idx="1">
                  <c:v>-1</c:v>
                </c:pt>
                <c:pt idx="2">
                  <c:v>2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2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DD-4194-8815-68CE480D97BD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(13)'!$U$25:$U$33</c:f>
              <c:numCache>
                <c:formatCode>General</c:formatCode>
                <c:ptCount val="9"/>
                <c:pt idx="0">
                  <c:v>-1</c:v>
                </c:pt>
                <c:pt idx="1">
                  <c:v>1</c:v>
                </c:pt>
                <c:pt idx="2">
                  <c:v>-1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(13)'!$V$25:$V$33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-1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DD-4194-8815-68CE480D97BD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(13)'!$W$25:$W$33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5</c:v>
                </c:pt>
                <c:pt idx="7">
                  <c:v>-1</c:v>
                </c:pt>
                <c:pt idx="8">
                  <c:v>5</c:v>
                </c:pt>
              </c:numCache>
            </c:numRef>
          </c:xVal>
          <c:yVal>
            <c:numRef>
              <c:f>'2 (13)'!$X$25:$X$33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2</c:v>
                </c:pt>
                <c:pt idx="7">
                  <c:v>-1</c:v>
                </c:pt>
                <c:pt idx="8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2DD-4194-8815-68CE480D97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(14)'!$A$1:$A$9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</c:numCache>
            </c:numRef>
          </c:xVal>
          <c:yVal>
            <c:numRef>
              <c:f>'2 (14)'!$B$1:$B$9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641-4B93-9370-A10EF80371A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(14)'!$J$1:$J$3</c:f>
            </c:numRef>
          </c:xVal>
          <c:yVal>
            <c:numRef>
              <c:f>'2 (14)'!$K$1:$K$3</c:f>
            </c:numRef>
          </c:yVal>
          <c:smooth val="0"/>
          <c:extLst>
            <c:ext xmlns:c16="http://schemas.microsoft.com/office/drawing/2014/chart" uri="{C3380CC4-5D6E-409C-BE32-E72D297353CC}">
              <c16:uniqueId val="{00000001-3641-4B93-9370-A10EF8037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(14)'!$A$1:$A$9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</c:numCache>
            </c:numRef>
          </c:xVal>
          <c:yVal>
            <c:numRef>
              <c:f>'2 (14)'!$B$1:$B$9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43-4FC5-82B6-17062CE78E2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(14)'!$J$13:$J$15</c:f>
            </c:numRef>
          </c:xVal>
          <c:yVal>
            <c:numRef>
              <c:f>'2 (14)'!$K$13:$K$16</c:f>
            </c:numRef>
          </c:yVal>
          <c:smooth val="0"/>
          <c:extLst>
            <c:ext xmlns:c16="http://schemas.microsoft.com/office/drawing/2014/chart" uri="{C3380CC4-5D6E-409C-BE32-E72D297353CC}">
              <c16:uniqueId val="{00000001-4E43-4FC5-82B6-17062CE78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(14)'!$A$1:$A$9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4</c:v>
                </c:pt>
                <c:pt idx="6">
                  <c:v>3</c:v>
                </c:pt>
                <c:pt idx="7">
                  <c:v>4</c:v>
                </c:pt>
                <c:pt idx="8">
                  <c:v>1</c:v>
                </c:pt>
              </c:numCache>
            </c:numRef>
          </c:xVal>
          <c:yVal>
            <c:numRef>
              <c:f>'2 (14)'!$B$1:$B$9</c:f>
              <c:numCache>
                <c:formatCode>General</c:formatCode>
                <c:ptCount val="9"/>
                <c:pt idx="0">
                  <c:v>4</c:v>
                </c:pt>
                <c:pt idx="1">
                  <c:v>2</c:v>
                </c:pt>
                <c:pt idx="2">
                  <c:v>1</c:v>
                </c:pt>
                <c:pt idx="3">
                  <c:v>5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  <c:pt idx="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9AB-43FF-AD0F-16F86F2E7BC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(14)'!$J$25:$J$27</c:f>
            </c:numRef>
          </c:xVal>
          <c:yVal>
            <c:numRef>
              <c:f>'2 (14)'!$K$25:$K$27</c:f>
            </c:numRef>
          </c:yVal>
          <c:smooth val="0"/>
          <c:extLst>
            <c:ext xmlns:c16="http://schemas.microsoft.com/office/drawing/2014/chart" uri="{C3380CC4-5D6E-409C-BE32-E72D297353CC}">
              <c16:uniqueId val="{00000001-09AB-43FF-AD0F-16F86F2E7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(14)'!$Y$1:$Y$9</c:f>
              <c:numCache>
                <c:formatCode>General</c:formatCode>
                <c:ptCount val="9"/>
                <c:pt idx="0">
                  <c:v>2.6666666666666665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(14)'!$Z$1:$Z$9</c:f>
              <c:numCache>
                <c:formatCode>General</c:formatCode>
                <c:ptCount val="9"/>
                <c:pt idx="0">
                  <c:v>4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DD-409B-B00A-A4802B9A5CA5}"/>
            </c:ext>
          </c:extLst>
        </c:ser>
        <c:ser>
          <c:idx val="4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(14)'!$AA$1:$AA$9</c:f>
              <c:numCache>
                <c:formatCode>General</c:formatCode>
                <c:ptCount val="9"/>
                <c:pt idx="0">
                  <c:v>2.6666666666666665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(14)'!$AB$1:$AB$9</c:f>
              <c:numCache>
                <c:formatCode>General</c:formatCode>
                <c:ptCount val="9"/>
                <c:pt idx="0">
                  <c:v>2.3333333333333335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DD-409B-B00A-A4802B9A5CA5}"/>
            </c:ext>
          </c:extLst>
        </c:ser>
        <c:ser>
          <c:idx val="5"/>
          <c:order val="2"/>
          <c:spPr>
            <a:ln w="1905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(14)'!$AC$1:$AC$9</c:f>
              <c:numCache>
                <c:formatCode>General</c:formatCode>
                <c:ptCount val="9"/>
                <c:pt idx="0">
                  <c:v>3.3333333333333335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(14)'!$AD$1:$AD$9</c:f>
              <c:numCache>
                <c:formatCode>General</c:formatCode>
                <c:ptCount val="9"/>
                <c:pt idx="0">
                  <c:v>1.6666666666666667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DD-409B-B00A-A4802B9A5CA5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(14)'!$S$1:$S$9</c:f>
              <c:numCache>
                <c:formatCode>General</c:formatCode>
                <c:ptCount val="9"/>
                <c:pt idx="0">
                  <c:v>4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-1</c:v>
                </c:pt>
                <c:pt idx="5">
                  <c:v>-1</c:v>
                </c:pt>
                <c:pt idx="6">
                  <c:v>3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(14)'!$T$1:$T$9</c:f>
              <c:numCache>
                <c:formatCode>General</c:formatCode>
                <c:ptCount val="9"/>
                <c:pt idx="0">
                  <c:v>4</c:v>
                </c:pt>
                <c:pt idx="1">
                  <c:v>-1</c:v>
                </c:pt>
                <c:pt idx="2">
                  <c:v>-1</c:v>
                </c:pt>
                <c:pt idx="3">
                  <c:v>5</c:v>
                </c:pt>
                <c:pt idx="4">
                  <c:v>-1</c:v>
                </c:pt>
                <c:pt idx="5">
                  <c:v>-1</c:v>
                </c:pt>
                <c:pt idx="6">
                  <c:v>3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DD-409B-B00A-A4802B9A5CA5}"/>
            </c:ext>
          </c:extLst>
        </c:ser>
        <c:ser>
          <c:idx val="1"/>
          <c:order val="4"/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(14)'!$U$1:$U$9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-1</c:v>
                </c:pt>
                <c:pt idx="3">
                  <c:v>-1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4</c:v>
                </c:pt>
                <c:pt idx="8">
                  <c:v>-1</c:v>
                </c:pt>
              </c:numCache>
            </c:numRef>
          </c:xVal>
          <c:yVal>
            <c:numRef>
              <c:f>'2 (14)'!$V$1:$V$9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-1</c:v>
                </c:pt>
                <c:pt idx="3">
                  <c:v>-1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4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1EDD-409B-B00A-A4802B9A5CA5}"/>
            </c:ext>
          </c:extLst>
        </c:ser>
        <c:ser>
          <c:idx val="2"/>
          <c:order val="5"/>
          <c:spPr>
            <a:ln w="1905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(14)'!$W$1:$W$9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5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1</c:v>
                </c:pt>
              </c:numCache>
            </c:numRef>
          </c:xVal>
          <c:yVal>
            <c:numRef>
              <c:f>'2 (14)'!$X$1:$X$9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2</c:v>
                </c:pt>
                <c:pt idx="6">
                  <c:v>-1</c:v>
                </c:pt>
                <c:pt idx="7">
                  <c:v>-1</c:v>
                </c:pt>
                <c:pt idx="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1EDD-409B-B00A-A4802B9A5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(14)'!$Y$13:$Y$21</c:f>
              <c:numCache>
                <c:formatCode>General</c:formatCode>
                <c:ptCount val="9"/>
                <c:pt idx="0">
                  <c:v>3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(14)'!$Z$13:$Z$21</c:f>
              <c:numCache>
                <c:formatCode>General</c:formatCode>
                <c:ptCount val="9"/>
                <c:pt idx="0">
                  <c:v>4.333333333333333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1E-452C-9830-C6A9420F6AA1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(14)'!$AA$13:$AA$21</c:f>
              <c:numCache>
                <c:formatCode>General</c:formatCode>
                <c:ptCount val="9"/>
                <c:pt idx="0">
                  <c:v>2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(14)'!$AB$13:$AB$21</c:f>
              <c:numCache>
                <c:formatCode>General</c:formatCode>
                <c:ptCount val="9"/>
                <c:pt idx="0">
                  <c:v>2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1E-452C-9830-C6A9420F6AA1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(14)'!$AC$13:$AC$21</c:f>
              <c:numCache>
                <c:formatCode>General</c:formatCode>
                <c:ptCount val="9"/>
                <c:pt idx="0">
                  <c:v>4.5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(14)'!$AD$13:$AD$21</c:f>
              <c:numCache>
                <c:formatCode>General</c:formatCode>
                <c:ptCount val="9"/>
                <c:pt idx="0">
                  <c:v>1.5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1E-452C-9830-C6A9420F6AA1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(14)'!$S$13:$S$21</c:f>
              <c:numCache>
                <c:formatCode>General</c:formatCode>
                <c:ptCount val="9"/>
                <c:pt idx="0">
                  <c:v>4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4</c:v>
                </c:pt>
                <c:pt idx="8">
                  <c:v>-1</c:v>
                </c:pt>
              </c:numCache>
            </c:numRef>
          </c:xVal>
          <c:yVal>
            <c:numRef>
              <c:f>'2 (14)'!$T$13:$T$21</c:f>
              <c:numCache>
                <c:formatCode>General</c:formatCode>
                <c:ptCount val="9"/>
                <c:pt idx="0">
                  <c:v>4</c:v>
                </c:pt>
                <c:pt idx="1">
                  <c:v>-1</c:v>
                </c:pt>
                <c:pt idx="2">
                  <c:v>-1</c:v>
                </c:pt>
                <c:pt idx="3">
                  <c:v>5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4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1E-452C-9830-C6A9420F6AA1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(14)'!$U$13:$U$21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-1</c:v>
                </c:pt>
                <c:pt idx="3">
                  <c:v>-1</c:v>
                </c:pt>
                <c:pt idx="4">
                  <c:v>2</c:v>
                </c:pt>
                <c:pt idx="5">
                  <c:v>-1</c:v>
                </c:pt>
                <c:pt idx="6">
                  <c:v>3</c:v>
                </c:pt>
                <c:pt idx="7">
                  <c:v>-1</c:v>
                </c:pt>
                <c:pt idx="8">
                  <c:v>1</c:v>
                </c:pt>
              </c:numCache>
            </c:numRef>
          </c:xVal>
          <c:yVal>
            <c:numRef>
              <c:f>'2 (14)'!$V$13:$V$21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-1</c:v>
                </c:pt>
                <c:pt idx="3">
                  <c:v>-1</c:v>
                </c:pt>
                <c:pt idx="4">
                  <c:v>1</c:v>
                </c:pt>
                <c:pt idx="5">
                  <c:v>-1</c:v>
                </c:pt>
                <c:pt idx="6">
                  <c:v>3</c:v>
                </c:pt>
                <c:pt idx="7">
                  <c:v>-1</c:v>
                </c:pt>
                <c:pt idx="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1E-452C-9830-C6A9420F6AA1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(14)'!$W$13:$W$21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5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(14)'!$X$13:$X$21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2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71E-452C-9830-C6A9420F6A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(14)'!$Y$25:$Y$33</c:f>
              <c:numCache>
                <c:formatCode>General</c:formatCode>
                <c:ptCount val="9"/>
                <c:pt idx="0">
                  <c:v>3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(14)'!$Z$25:$Z$33</c:f>
              <c:numCache>
                <c:formatCode>General</c:formatCode>
                <c:ptCount val="9"/>
                <c:pt idx="0">
                  <c:v>4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B52-43B3-B459-B72FAD93147D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(14)'!$AA$25:$AA$33</c:f>
              <c:numCache>
                <c:formatCode>General</c:formatCode>
                <c:ptCount val="9"/>
                <c:pt idx="0">
                  <c:v>1.6666666666666667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(14)'!$AB$25:$AB$33</c:f>
              <c:numCache>
                <c:formatCode>General</c:formatCode>
                <c:ptCount val="9"/>
                <c:pt idx="0">
                  <c:v>1.6666666666666667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B52-43B3-B459-B72FAD93147D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(14)'!$AC$25:$AC$33</c:f>
              <c:numCache>
                <c:formatCode>General</c:formatCode>
                <c:ptCount val="9"/>
                <c:pt idx="0">
                  <c:v>4.5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(14)'!$AD$25:$AD$33</c:f>
              <c:numCache>
                <c:formatCode>General</c:formatCode>
                <c:ptCount val="9"/>
                <c:pt idx="0">
                  <c:v>1.5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B52-43B3-B459-B72FAD93147D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(14)'!$S$25:$S$33</c:f>
              <c:numCache>
                <c:formatCode>General</c:formatCode>
                <c:ptCount val="9"/>
                <c:pt idx="0">
                  <c:v>4</c:v>
                </c:pt>
                <c:pt idx="1">
                  <c:v>-1</c:v>
                </c:pt>
                <c:pt idx="2">
                  <c:v>-1</c:v>
                </c:pt>
                <c:pt idx="3">
                  <c:v>1</c:v>
                </c:pt>
                <c:pt idx="4">
                  <c:v>-1</c:v>
                </c:pt>
                <c:pt idx="5">
                  <c:v>-1</c:v>
                </c:pt>
                <c:pt idx="6">
                  <c:v>3</c:v>
                </c:pt>
                <c:pt idx="7">
                  <c:v>4</c:v>
                </c:pt>
                <c:pt idx="8">
                  <c:v>-1</c:v>
                </c:pt>
              </c:numCache>
            </c:numRef>
          </c:xVal>
          <c:yVal>
            <c:numRef>
              <c:f>'2 (14)'!$T$25:$T$33</c:f>
              <c:numCache>
                <c:formatCode>General</c:formatCode>
                <c:ptCount val="9"/>
                <c:pt idx="0">
                  <c:v>4</c:v>
                </c:pt>
                <c:pt idx="1">
                  <c:v>-1</c:v>
                </c:pt>
                <c:pt idx="2">
                  <c:v>-1</c:v>
                </c:pt>
                <c:pt idx="3">
                  <c:v>5</c:v>
                </c:pt>
                <c:pt idx="4">
                  <c:v>-1</c:v>
                </c:pt>
                <c:pt idx="5">
                  <c:v>-1</c:v>
                </c:pt>
                <c:pt idx="6">
                  <c:v>3</c:v>
                </c:pt>
                <c:pt idx="7">
                  <c:v>4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B52-43B3-B459-B72FAD93147D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(14)'!$U$25:$U$33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-1</c:v>
                </c:pt>
                <c:pt idx="3">
                  <c:v>-1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1</c:v>
                </c:pt>
              </c:numCache>
            </c:numRef>
          </c:xVal>
          <c:yVal>
            <c:numRef>
              <c:f>'2 (14)'!$V$25:$V$33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-1</c:v>
                </c:pt>
                <c:pt idx="3">
                  <c:v>-1</c:v>
                </c:pt>
                <c:pt idx="4">
                  <c:v>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B52-43B3-B459-B72FAD93147D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'2 (14)'!$W$25:$W$33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5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'2 (14)'!$X$25:$X$33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2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B52-43B3-B459-B72FAD9314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'3分類'!$A$1:$A$9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'3分類'!$B$1:$B$9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585-44F7-9DE2-60D3084D914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(14)'!$J$1:$J$3</c:f>
            </c:numRef>
          </c:xVal>
          <c:yVal>
            <c:numRef>
              <c:f>'2 (14)'!$K$1:$K$3</c:f>
            </c:numRef>
          </c:yVal>
          <c:smooth val="0"/>
          <c:extLst>
            <c:ext xmlns:c16="http://schemas.microsoft.com/office/drawing/2014/chart" uri="{C3380CC4-5D6E-409C-BE32-E72D297353CC}">
              <c16:uniqueId val="{00000001-2585-44F7-9DE2-60D3084D9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'3分類'!$A$1:$A$9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'3分類'!$B$1:$B$9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EE-42E2-8779-FC55C593DE4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(14)'!$J$13:$J$15</c:f>
            </c:numRef>
          </c:xVal>
          <c:yVal>
            <c:numRef>
              <c:f>'2 (14)'!$K$13:$K$16</c:f>
            </c:numRef>
          </c:yVal>
          <c:smooth val="0"/>
          <c:extLst>
            <c:ext xmlns:c16="http://schemas.microsoft.com/office/drawing/2014/chart" uri="{C3380CC4-5D6E-409C-BE32-E72D297353CC}">
              <c16:uniqueId val="{00000001-61EE-42E2-8779-FC55C593DE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'3分類'!$A$1:$A$9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'3分類'!$B$1:$B$9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1B0-4A2D-8232-378F241F017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(14)'!$J$25:$J$27</c:f>
            </c:numRef>
          </c:xVal>
          <c:yVal>
            <c:numRef>
              <c:f>'2 (14)'!$K$25:$K$27</c:f>
            </c:numRef>
          </c:yVal>
          <c:smooth val="0"/>
          <c:extLst>
            <c:ext xmlns:c16="http://schemas.microsoft.com/office/drawing/2014/chart" uri="{C3380CC4-5D6E-409C-BE32-E72D297353CC}">
              <c16:uniqueId val="{00000001-B1B0-4A2D-8232-378F241F01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'3分類'!$Y$1:$Y$9</c:f>
              <c:numCache>
                <c:formatCode>General</c:formatCode>
                <c:ptCount val="9"/>
                <c:pt idx="0">
                  <c:v>2.3333333333333335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'3分類'!$Z$1:$Z$9</c:f>
              <c:numCache>
                <c:formatCode>General</c:formatCode>
                <c:ptCount val="9"/>
                <c:pt idx="0">
                  <c:v>4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6D8-41E6-B5A2-F32D507DF668}"/>
            </c:ext>
          </c:extLst>
        </c:ser>
        <c:ser>
          <c:idx val="4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'3分類'!$AA$1:$AA$9</c:f>
              <c:numCache>
                <c:formatCode>General</c:formatCode>
                <c:ptCount val="9"/>
                <c:pt idx="0">
                  <c:v>2.6666666666666665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'3分類'!$AB$1:$AB$9</c:f>
              <c:numCache>
                <c:formatCode>General</c:formatCode>
                <c:ptCount val="9"/>
                <c:pt idx="0">
                  <c:v>2.3333333333333335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6D8-41E6-B5A2-F32D507DF668}"/>
            </c:ext>
          </c:extLst>
        </c:ser>
        <c:ser>
          <c:idx val="5"/>
          <c:order val="2"/>
          <c:spPr>
            <a:ln w="1905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'3分類'!$AC$1:$AC$9</c:f>
              <c:numCache>
                <c:formatCode>General</c:formatCode>
                <c:ptCount val="9"/>
                <c:pt idx="0">
                  <c:v>3.3333333333333335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'3分類'!$AD$1:$AD$9</c:f>
              <c:numCache>
                <c:formatCode>General</c:formatCode>
                <c:ptCount val="9"/>
                <c:pt idx="0">
                  <c:v>1.6666666666666667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6D8-41E6-B5A2-F32D507DF668}"/>
            </c:ext>
          </c:extLst>
        </c:ser>
        <c:ser>
          <c:idx val="0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'3分類'!$S$1:$S$9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'3分類'!$T$1:$T$9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6D8-41E6-B5A2-F32D507DF668}"/>
            </c:ext>
          </c:extLst>
        </c:ser>
        <c:ser>
          <c:idx val="1"/>
          <c:order val="4"/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'3分類'!$U$1:$U$9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4</c:v>
                </c:pt>
                <c:pt idx="4">
                  <c:v>2</c:v>
                </c:pt>
                <c:pt idx="5">
                  <c:v>2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'3分類'!$V$1:$V$9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4</c:v>
                </c:pt>
                <c:pt idx="4">
                  <c:v>1</c:v>
                </c:pt>
                <c:pt idx="5">
                  <c:v>2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6D8-41E6-B5A2-F32D507DF668}"/>
            </c:ext>
          </c:extLst>
        </c:ser>
        <c:ser>
          <c:idx val="2"/>
          <c:order val="5"/>
          <c:spPr>
            <a:ln w="1905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'3分類'!$W$1:$W$9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1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'3分類'!$X$1:$X$9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6D8-41E6-B5A2-F32D507DF6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'3分類'!$Y$13:$Y$21</c:f>
              <c:numCache>
                <c:formatCode>General</c:formatCode>
                <c:ptCount val="9"/>
                <c:pt idx="0">
                  <c:v>2.6666666666666665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'3分類'!$Z$13:$Z$21</c:f>
              <c:numCache>
                <c:formatCode>General</c:formatCode>
                <c:ptCount val="9"/>
                <c:pt idx="0">
                  <c:v>4.333333333333333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6D-4C7B-868C-2026FB3BFAB0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'3分類'!$AA$13:$AA$21</c:f>
              <c:numCache>
                <c:formatCode>General</c:formatCode>
                <c:ptCount val="9"/>
                <c:pt idx="0">
                  <c:v>2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'3分類'!$AB$13:$AB$21</c:f>
              <c:numCache>
                <c:formatCode>General</c:formatCode>
                <c:ptCount val="9"/>
                <c:pt idx="0">
                  <c:v>2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6D-4C7B-868C-2026FB3BFAB0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'3分類'!$AC$13:$AC$21</c:f>
              <c:numCache>
                <c:formatCode>General</c:formatCode>
                <c:ptCount val="9"/>
                <c:pt idx="0">
                  <c:v>4.5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'3分類'!$AD$13:$AD$21</c:f>
              <c:numCache>
                <c:formatCode>General</c:formatCode>
                <c:ptCount val="9"/>
                <c:pt idx="0">
                  <c:v>1.5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6D-4C7B-868C-2026FB3BFAB0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'3分類'!$S$13:$S$21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-1</c:v>
                </c:pt>
                <c:pt idx="3">
                  <c:v>4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'3分類'!$T$13:$T$21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-1</c:v>
                </c:pt>
                <c:pt idx="3">
                  <c:v>4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6D-4C7B-868C-2026FB3BFAB0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'3分類'!$U$13:$U$21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3</c:v>
                </c:pt>
                <c:pt idx="3">
                  <c:v>-1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'3分類'!$V$13:$V$21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3</c:v>
                </c:pt>
                <c:pt idx="3">
                  <c:v>-1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C86D-4C7B-868C-2026FB3BFAB0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'3分類'!$W$13:$W$21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'3分類'!$X$13:$X$21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2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C86D-4C7B-868C-2026FB3BFA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'3分類'!$Y$25:$Y$33</c:f>
              <c:numCache>
                <c:formatCode>General</c:formatCode>
                <c:ptCount val="9"/>
                <c:pt idx="0">
                  <c:v>2.75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'3分類'!$Z$25:$Z$33</c:f>
              <c:numCache>
                <c:formatCode>General</c:formatCode>
                <c:ptCount val="9"/>
                <c:pt idx="0">
                  <c:v>4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0D-41A3-8A07-61E93503E6D9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'3分類'!$AA$25:$AA$33</c:f>
              <c:numCache>
                <c:formatCode>General</c:formatCode>
                <c:ptCount val="9"/>
                <c:pt idx="0">
                  <c:v>1.6666666666666667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'3分類'!$AB$25:$AB$33</c:f>
              <c:numCache>
                <c:formatCode>General</c:formatCode>
                <c:ptCount val="9"/>
                <c:pt idx="0">
                  <c:v>1.6666666666666667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0D-41A3-8A07-61E93503E6D9}"/>
            </c:ext>
          </c:extLst>
        </c:ser>
        <c:ser>
          <c:idx val="5"/>
          <c:order val="2"/>
          <c:spPr>
            <a:ln w="25400" cap="rnd">
              <a:noFill/>
              <a:round/>
            </a:ln>
            <a:effectLst/>
          </c:spPr>
          <c:marker>
            <c:symbol val="triangle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'3分類'!$AC$25:$AC$33</c:f>
              <c:numCache>
                <c:formatCode>General</c:formatCode>
                <c:ptCount val="9"/>
                <c:pt idx="0">
                  <c:v>4.5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'3分類'!$AD$25:$AD$33</c:f>
              <c:numCache>
                <c:formatCode>General</c:formatCode>
                <c:ptCount val="9"/>
                <c:pt idx="0">
                  <c:v>1.5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C0D-41A3-8A07-61E93503E6D9}"/>
            </c:ext>
          </c:extLst>
        </c:ser>
        <c:ser>
          <c:idx val="0"/>
          <c:order val="3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'3分類'!$S$25:$S$33</c:f>
              <c:numCache>
                <c:formatCode>General</c:formatCode>
                <c:ptCount val="9"/>
                <c:pt idx="0">
                  <c:v>3</c:v>
                </c:pt>
                <c:pt idx="1">
                  <c:v>1</c:v>
                </c:pt>
                <c:pt idx="2">
                  <c:v>3</c:v>
                </c:pt>
                <c:pt idx="3">
                  <c:v>4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'3分類'!$T$25:$T$33</c:f>
              <c:numCache>
                <c:formatCode>General</c:formatCode>
                <c:ptCount val="9"/>
                <c:pt idx="0">
                  <c:v>4</c:v>
                </c:pt>
                <c:pt idx="1">
                  <c:v>5</c:v>
                </c:pt>
                <c:pt idx="2">
                  <c:v>3</c:v>
                </c:pt>
                <c:pt idx="3">
                  <c:v>4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C0D-41A3-8A07-61E93503E6D9}"/>
            </c:ext>
          </c:extLst>
        </c:ser>
        <c:ser>
          <c:idx val="1"/>
          <c:order val="4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'3分類'!$U$25:$U$33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2</c:v>
                </c:pt>
                <c:pt idx="5">
                  <c:v>2</c:v>
                </c:pt>
                <c:pt idx="6">
                  <c:v>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'3分類'!$V$25:$V$33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1</c:v>
                </c:pt>
                <c:pt idx="5">
                  <c:v>2</c:v>
                </c:pt>
                <c:pt idx="6">
                  <c:v>2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C0D-41A3-8A07-61E93503E6D9}"/>
            </c:ext>
          </c:extLst>
        </c:ser>
        <c:ser>
          <c:idx val="2"/>
          <c:order val="5"/>
          <c:spPr>
            <a:ln w="25400" cap="rnd">
              <a:noFill/>
              <a:round/>
            </a:ln>
            <a:effectLst/>
          </c:spPr>
          <c:marker>
            <c:symbol val="triang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'3分類'!$W$25:$W$33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4</c:v>
                </c:pt>
                <c:pt idx="8">
                  <c:v>5</c:v>
                </c:pt>
              </c:numCache>
            </c:numRef>
          </c:xVal>
          <c:yVal>
            <c:numRef>
              <c:f>'3分類'!$X$25:$X$33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2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C0D-41A3-8A07-61E93503E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(2)'!$A$1:$A$9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(2)'!$B$1:$B$9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22-41E8-BF60-7AECA9B1190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(14)'!$J$1:$J$3</c:f>
            </c:numRef>
          </c:xVal>
          <c:yVal>
            <c:numRef>
              <c:f>'2 (14)'!$K$1:$K$3</c:f>
            </c:numRef>
          </c:yVal>
          <c:smooth val="0"/>
          <c:extLst>
            <c:ext xmlns:c16="http://schemas.microsoft.com/office/drawing/2014/chart" uri="{C3380CC4-5D6E-409C-BE32-E72D297353CC}">
              <c16:uniqueId val="{00000001-D822-41E8-BF60-7AECA9B119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(2)'!$A$1:$A$9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(2)'!$B$1:$B$9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B8-4008-96A9-AC13257D08D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(14)'!$J$13:$J$15</c:f>
            </c:numRef>
          </c:xVal>
          <c:yVal>
            <c:numRef>
              <c:f>'2 (14)'!$K$13:$K$16</c:f>
            </c:numRef>
          </c:yVal>
          <c:smooth val="0"/>
          <c:extLst>
            <c:ext xmlns:c16="http://schemas.microsoft.com/office/drawing/2014/chart" uri="{C3380CC4-5D6E-409C-BE32-E72D297353CC}">
              <c16:uniqueId val="{00000001-15B8-4008-96A9-AC13257D0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(2)'!$A$1:$A$9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(2)'!$B$1:$B$9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432-45E4-AA86-F1D9CFB4B8BF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(14)'!$J$25:$J$27</c:f>
            </c:numRef>
          </c:xVal>
          <c:yVal>
            <c:numRef>
              <c:f>'2 (14)'!$K$25:$K$27</c:f>
            </c:numRef>
          </c:yVal>
          <c:smooth val="0"/>
          <c:extLst>
            <c:ext xmlns:c16="http://schemas.microsoft.com/office/drawing/2014/chart" uri="{C3380CC4-5D6E-409C-BE32-E72D297353CC}">
              <c16:uniqueId val="{00000001-A432-45E4-AA86-F1D9CFB4B8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(2)'!$S$1</c:f>
              <c:numCache>
                <c:formatCode>General</c:formatCode>
                <c:ptCount val="1"/>
                <c:pt idx="0">
                  <c:v>3.8</c:v>
                </c:pt>
              </c:numCache>
            </c:numRef>
          </c:xVal>
          <c:yVal>
            <c:numRef>
              <c:f>'3分類 (2)'!$T$1</c:f>
              <c:numCache>
                <c:formatCode>General</c:formatCode>
                <c:ptCount val="1"/>
                <c:pt idx="0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69-4D82-9134-E2EAFB72D227}"/>
            </c:ext>
          </c:extLst>
        </c:ser>
        <c:ser>
          <c:idx val="4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(2)'!$U$1</c:f>
              <c:numCache>
                <c:formatCode>General</c:formatCode>
                <c:ptCount val="1"/>
                <c:pt idx="0">
                  <c:v>2.75</c:v>
                </c:pt>
              </c:numCache>
            </c:numRef>
          </c:xVal>
          <c:yVal>
            <c:numRef>
              <c:f>'3分類 (2)'!$V$1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69-4D82-9134-E2EAFB72D227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(2)'!$O$1:$O$9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(2)'!$P$1:$P$9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A69-4D82-9134-E2EAFB72D227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(2)'!$Q$1:$Q$9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3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(2)'!$R$1:$R$9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A69-4D82-9134-E2EAFB72D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(2)'!$S$13</c:f>
              <c:numCache>
                <c:formatCode>General</c:formatCode>
                <c:ptCount val="1"/>
                <c:pt idx="0">
                  <c:v>4.4000000000000004</c:v>
                </c:pt>
              </c:numCache>
            </c:numRef>
          </c:xVal>
          <c:yVal>
            <c:numRef>
              <c:f>'3分類 (2)'!$T$13</c:f>
              <c:numCache>
                <c:formatCode>General</c:formatCode>
                <c:ptCount val="1"/>
                <c:pt idx="0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B-4A63-B833-00BCD80C648A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(2)'!$U$13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'3分類 (2)'!$V$13</c:f>
              <c:numCache>
                <c:formatCode>General</c:formatCode>
                <c:ptCount val="1"/>
                <c:pt idx="0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9B-4A63-B833-00BCD80C648A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(2)'!$O$13:$O$21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-1</c:v>
                </c:pt>
                <c:pt idx="3">
                  <c:v>5</c:v>
                </c:pt>
                <c:pt idx="4">
                  <c:v>5</c:v>
                </c:pt>
                <c:pt idx="5">
                  <c:v>-1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(2)'!$P$13:$P$21</c:f>
              <c:numCache>
                <c:formatCode>General</c:formatCode>
                <c:ptCount val="9"/>
                <c:pt idx="0">
                  <c:v>2</c:v>
                </c:pt>
                <c:pt idx="1">
                  <c:v>1</c:v>
                </c:pt>
                <c:pt idx="2">
                  <c:v>-1</c:v>
                </c:pt>
                <c:pt idx="3">
                  <c:v>4</c:v>
                </c:pt>
                <c:pt idx="4">
                  <c:v>5</c:v>
                </c:pt>
                <c:pt idx="5">
                  <c:v>-1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D9B-4A63-B833-00BCD80C648A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(2)'!$Q$13:$Q$21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3</c:v>
                </c:pt>
                <c:pt idx="6">
                  <c:v>-1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(2)'!$R$13:$R$21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-1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9B-4A63-B833-00BCD80C648A}"/>
            </c:ext>
          </c:extLst>
        </c:ser>
        <c:ser>
          <c:idx val="2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(2)'!$S$1</c:f>
              <c:numCache>
                <c:formatCode>General</c:formatCode>
                <c:ptCount val="1"/>
                <c:pt idx="0">
                  <c:v>3.8</c:v>
                </c:pt>
              </c:numCache>
            </c:numRef>
          </c:xVal>
          <c:yVal>
            <c:numRef>
              <c:f>'3分類 (2)'!$T$1</c:f>
              <c:numCache>
                <c:formatCode>General</c:formatCode>
                <c:ptCount val="1"/>
                <c:pt idx="0">
                  <c:v>2.6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D9B-4A63-B833-00BCD80C648A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(2)'!$U$1</c:f>
              <c:numCache>
                <c:formatCode>General</c:formatCode>
                <c:ptCount val="1"/>
                <c:pt idx="0">
                  <c:v>2.75</c:v>
                </c:pt>
              </c:numCache>
            </c:numRef>
          </c:xVal>
          <c:yVal>
            <c:numRef>
              <c:f>'3分類 (2)'!$V$1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D9B-4A63-B833-00BCD80C64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(2)'!$U$13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'3分類 (2)'!$V$13</c:f>
              <c:numCache>
                <c:formatCode>General</c:formatCode>
                <c:ptCount val="1"/>
                <c:pt idx="0">
                  <c:v>2.25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015-4091-A017-66C9EE4E30CC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(2)'!$S$13</c:f>
              <c:numCache>
                <c:formatCode>General</c:formatCode>
                <c:ptCount val="1"/>
                <c:pt idx="0">
                  <c:v>4.4000000000000004</c:v>
                </c:pt>
              </c:numCache>
            </c:numRef>
          </c:xVal>
          <c:yVal>
            <c:numRef>
              <c:f>'3分類 (2)'!$T$13</c:f>
              <c:numCache>
                <c:formatCode>General</c:formatCode>
                <c:ptCount val="1"/>
                <c:pt idx="0">
                  <c:v>3.2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D015-4091-A017-66C9EE4E30CC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(2)'!$S$25</c:f>
              <c:numCache>
                <c:formatCode>General</c:formatCode>
                <c:ptCount val="1"/>
                <c:pt idx="0">
                  <c:v>4.4000000000000004</c:v>
                </c:pt>
              </c:numCache>
            </c:numRef>
          </c:xVal>
          <c:yVal>
            <c:numRef>
              <c:f>'3分類 (2)'!$T$25</c:f>
              <c:numCache>
                <c:formatCode>General</c:formatCode>
                <c:ptCount val="1"/>
                <c:pt idx="0">
                  <c:v>3.8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15-4091-A017-66C9EE4E30CC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(2)'!$U$25</c:f>
              <c:numCache>
                <c:formatCode>General</c:formatCode>
                <c:ptCount val="1"/>
                <c:pt idx="0">
                  <c:v>2</c:v>
                </c:pt>
              </c:numCache>
            </c:numRef>
          </c:xVal>
          <c:yVal>
            <c:numRef>
              <c:f>'3分類 (2)'!$V$25</c:f>
              <c:numCache>
                <c:formatCode>General</c:formatCode>
                <c:ptCount val="1"/>
                <c:pt idx="0">
                  <c:v>1.5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15-4091-A017-66C9EE4E30CC}"/>
            </c:ext>
          </c:extLst>
        </c:ser>
        <c:ser>
          <c:idx val="0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(2)'!$O$25:$O$33</c:f>
              <c:numCache>
                <c:formatCode>General</c:formatCode>
                <c:ptCount val="9"/>
                <c:pt idx="0">
                  <c:v>5</c:v>
                </c:pt>
                <c:pt idx="1">
                  <c:v>-1</c:v>
                </c:pt>
                <c:pt idx="2">
                  <c:v>-1</c:v>
                </c:pt>
                <c:pt idx="3">
                  <c:v>5</c:v>
                </c:pt>
                <c:pt idx="4">
                  <c:v>5</c:v>
                </c:pt>
                <c:pt idx="5">
                  <c:v>3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(2)'!$P$25:$P$33</c:f>
              <c:numCache>
                <c:formatCode>General</c:formatCode>
                <c:ptCount val="9"/>
                <c:pt idx="0">
                  <c:v>2</c:v>
                </c:pt>
                <c:pt idx="1">
                  <c:v>-1</c:v>
                </c:pt>
                <c:pt idx="2">
                  <c:v>-1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015-4091-A017-66C9EE4E30CC}"/>
            </c:ext>
          </c:extLst>
        </c:ser>
        <c:ser>
          <c:idx val="1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(2)'!$Q$25:$Q$33</c:f>
              <c:numCache>
                <c:formatCode>General</c:formatCode>
                <c:ptCount val="9"/>
                <c:pt idx="0">
                  <c:v>-1</c:v>
                </c:pt>
                <c:pt idx="1">
                  <c:v>3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(2)'!$R$25:$R$33</c:f>
              <c:numCache>
                <c:formatCode>General</c:formatCode>
                <c:ptCount val="9"/>
                <c:pt idx="0">
                  <c:v>-1</c:v>
                </c:pt>
                <c:pt idx="1">
                  <c:v>1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015-4091-A017-66C9EE4E30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(3)'!$A$1:$A$9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(3)'!$B$1:$B$9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48-4604-A8AE-D9F4BE25B28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(14)'!$J$1:$J$3</c:f>
            </c:numRef>
          </c:xVal>
          <c:yVal>
            <c:numRef>
              <c:f>'2 (14)'!$K$1:$K$3</c:f>
            </c:numRef>
          </c:yVal>
          <c:smooth val="0"/>
          <c:extLst>
            <c:ext xmlns:c16="http://schemas.microsoft.com/office/drawing/2014/chart" uri="{C3380CC4-5D6E-409C-BE32-E72D297353CC}">
              <c16:uniqueId val="{00000001-5548-4604-A8AE-D9F4BE25B2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(3)'!$A$1:$A$9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(3)'!$B$1:$B$9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FC-4C0C-B758-D09FAE2BAD0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(14)'!$J$13:$J$15</c:f>
            </c:numRef>
          </c:xVal>
          <c:yVal>
            <c:numRef>
              <c:f>'2 (14)'!$K$13:$K$16</c:f>
            </c:numRef>
          </c:yVal>
          <c:smooth val="0"/>
          <c:extLst>
            <c:ext xmlns:c16="http://schemas.microsoft.com/office/drawing/2014/chart" uri="{C3380CC4-5D6E-409C-BE32-E72D297353CC}">
              <c16:uniqueId val="{00000001-FAFC-4C0C-B758-D09FAE2BAD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(3)'!$A$1:$A$9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5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(3)'!$B$1:$B$9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6D-4904-AE38-A36B424A3E25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(14)'!$J$25:$J$27</c:f>
            </c:numRef>
          </c:xVal>
          <c:yVal>
            <c:numRef>
              <c:f>'2 (14)'!$K$25:$K$27</c:f>
            </c:numRef>
          </c:yVal>
          <c:smooth val="0"/>
          <c:extLst>
            <c:ext xmlns:c16="http://schemas.microsoft.com/office/drawing/2014/chart" uri="{C3380CC4-5D6E-409C-BE32-E72D297353CC}">
              <c16:uniqueId val="{00000001-186D-4904-AE38-A36B424A3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(3)'!$S$1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'3分類 (3)'!$T$1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EC7-47D9-AA19-EC01D3A9E2D1}"/>
            </c:ext>
          </c:extLst>
        </c:ser>
        <c:ser>
          <c:idx val="4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(3)'!$U$1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'3分類 (3)'!$V$1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EC7-47D9-AA19-EC01D3A9E2D1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(3)'!$O$1:$O$9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(3)'!$P$1:$P$9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EC7-47D9-AA19-EC01D3A9E2D1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(3)'!$Q$1:$Q$9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5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(3)'!$R$1:$R$9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EC7-47D9-AA19-EC01D3A9E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(3)'!$S$13</c:f>
              <c:numCache>
                <c:formatCode>General</c:formatCode>
                <c:ptCount val="1"/>
                <c:pt idx="0">
                  <c:v>2.3333333333333335</c:v>
                </c:pt>
              </c:numCache>
            </c:numRef>
          </c:xVal>
          <c:yVal>
            <c:numRef>
              <c:f>'3分類 (3)'!$T$13</c:f>
              <c:numCache>
                <c:formatCode>General</c:formatCode>
                <c:ptCount val="1"/>
                <c:pt idx="0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2E-4381-96E8-6A74877A46C8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(3)'!$U$13</c:f>
              <c:numCache>
                <c:formatCode>General</c:formatCode>
                <c:ptCount val="1"/>
                <c:pt idx="0">
                  <c:v>4.666666666666667</c:v>
                </c:pt>
              </c:numCache>
            </c:numRef>
          </c:xVal>
          <c:yVal>
            <c:numRef>
              <c:f>'3分類 (3)'!$V$13</c:f>
              <c:numCache>
                <c:formatCode>General</c:formatCode>
                <c:ptCount val="1"/>
                <c:pt idx="0">
                  <c:v>4.333333333333333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E2E-4381-96E8-6A74877A46C8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(3)'!$O$13:$O$21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-1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(3)'!$P$13:$P$21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-1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E2E-4381-96E8-6A74877A46C8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(3)'!$Q$13:$Q$21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5</c:v>
                </c:pt>
                <c:pt idx="4">
                  <c:v>5</c:v>
                </c:pt>
                <c:pt idx="5">
                  <c:v>-1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(3)'!$R$13:$R$21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4</c:v>
                </c:pt>
                <c:pt idx="4">
                  <c:v>5</c:v>
                </c:pt>
                <c:pt idx="5">
                  <c:v>-1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E2E-4381-96E8-6A74877A46C8}"/>
            </c:ext>
          </c:extLst>
        </c:ser>
        <c:ser>
          <c:idx val="2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(3)'!$S$1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'3分類 (3)'!$T$1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E2E-4381-96E8-6A74877A46C8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(3)'!$U$1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'3分類 (3)'!$V$1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E2E-4381-96E8-6A74877A46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5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(3)'!$U$13</c:f>
              <c:numCache>
                <c:formatCode>General</c:formatCode>
                <c:ptCount val="1"/>
                <c:pt idx="0">
                  <c:v>4.666666666666667</c:v>
                </c:pt>
              </c:numCache>
            </c:numRef>
          </c:xVal>
          <c:yVal>
            <c:numRef>
              <c:f>'3分類 (3)'!$V$13</c:f>
              <c:numCache>
                <c:formatCode>General</c:formatCode>
                <c:ptCount val="1"/>
                <c:pt idx="0">
                  <c:v>4.333333333333333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D12-47E2-AC48-3109E25C2043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(3)'!$S$13</c:f>
              <c:numCache>
                <c:formatCode>General</c:formatCode>
                <c:ptCount val="1"/>
                <c:pt idx="0">
                  <c:v>2.3333333333333335</c:v>
                </c:pt>
              </c:numCache>
            </c:numRef>
          </c:xVal>
          <c:yVal>
            <c:numRef>
              <c:f>'3分類 (3)'!$T$13</c:f>
              <c:numCache>
                <c:formatCode>General</c:formatCode>
                <c:ptCount val="1"/>
                <c:pt idx="0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D12-47E2-AC48-3109E25C2043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(3)'!$S$25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'3分類 (3)'!$T$25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D12-47E2-AC48-3109E25C2043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(3)'!$U$25</c:f>
              <c:numCache>
                <c:formatCode>General</c:formatCode>
                <c:ptCount val="1"/>
                <c:pt idx="0">
                  <c:v>4.75</c:v>
                </c:pt>
              </c:numCache>
            </c:numRef>
          </c:xVal>
          <c:yVal>
            <c:numRef>
              <c:f>'3分類 (3)'!$V$25</c:f>
              <c:numCache>
                <c:formatCode>General</c:formatCode>
                <c:ptCount val="1"/>
                <c:pt idx="0">
                  <c:v>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D12-47E2-AC48-3109E25C2043}"/>
            </c:ext>
          </c:extLst>
        </c:ser>
        <c:ser>
          <c:idx val="0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(3)'!$O$25:$O$33</c:f>
              <c:numCache>
                <c:formatCode>General</c:formatCode>
                <c:ptCount val="9"/>
                <c:pt idx="0">
                  <c:v>-1</c:v>
                </c:pt>
                <c:pt idx="1">
                  <c:v>3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-1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(3)'!$P$25:$P$33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-1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D12-47E2-AC48-3109E25C2043}"/>
            </c:ext>
          </c:extLst>
        </c:ser>
        <c:ser>
          <c:idx val="1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(3)'!$Q$25:$Q$33</c:f>
              <c:numCache>
                <c:formatCode>General</c:formatCode>
                <c:ptCount val="9"/>
                <c:pt idx="0">
                  <c:v>5</c:v>
                </c:pt>
                <c:pt idx="1">
                  <c:v>-1</c:v>
                </c:pt>
                <c:pt idx="2">
                  <c:v>-1</c:v>
                </c:pt>
                <c:pt idx="3">
                  <c:v>5</c:v>
                </c:pt>
                <c:pt idx="4">
                  <c:v>5</c:v>
                </c:pt>
                <c:pt idx="5">
                  <c:v>-1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(3)'!$R$25:$R$33</c:f>
              <c:numCache>
                <c:formatCode>General</c:formatCode>
                <c:ptCount val="9"/>
                <c:pt idx="0">
                  <c:v>2</c:v>
                </c:pt>
                <c:pt idx="1">
                  <c:v>-1</c:v>
                </c:pt>
                <c:pt idx="2">
                  <c:v>-1</c:v>
                </c:pt>
                <c:pt idx="3">
                  <c:v>4</c:v>
                </c:pt>
                <c:pt idx="4">
                  <c:v>5</c:v>
                </c:pt>
                <c:pt idx="5">
                  <c:v>-1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D12-47E2-AC48-3109E25C20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(3)'!$S$1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'3分類 (3)'!$T$1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BF-4891-9691-D7BA7FE91AFE}"/>
            </c:ext>
          </c:extLst>
        </c:ser>
        <c:ser>
          <c:idx val="4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(3)'!$U$1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'3分類 (3)'!$V$1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BF-4891-9691-D7BA7FE91AFE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(3)'!$O$1:$O$9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(3)'!$P$1:$P$9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BF-4891-9691-D7BA7FE91AFE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(3)'!$Q$1:$Q$9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5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(3)'!$R$1:$R$9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BF-4891-9691-D7BA7FE91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(3)'!$O$1:$O$9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2</c:v>
                </c:pt>
                <c:pt idx="8">
                  <c:v>2</c:v>
                </c:pt>
              </c:numCache>
            </c:numRef>
          </c:xVal>
          <c:yVal>
            <c:numRef>
              <c:f>'3分類 (3)'!$P$1:$P$9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3</c:v>
                </c:pt>
                <c:pt idx="8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3BF-4891-9691-D7BA7FE91AFE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(3)'!$Q$1:$Q$9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5</c:v>
                </c:pt>
                <c:pt idx="4">
                  <c:v>5</c:v>
                </c:pt>
                <c:pt idx="5">
                  <c:v>1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(3)'!$R$1:$R$9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6">
                  <c:v>4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3BF-4891-9691-D7BA7FE91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(4)'!$A$1:$A$9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(4)'!$B$1:$B$9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D-49A1-9C3C-B238DD4230E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(14)'!$J$1:$J$3</c:f>
            </c:numRef>
          </c:xVal>
          <c:yVal>
            <c:numRef>
              <c:f>'2 (14)'!$K$1:$K$3</c:f>
            </c:numRef>
          </c:yVal>
          <c:smooth val="0"/>
          <c:extLst>
            <c:ext xmlns:c16="http://schemas.microsoft.com/office/drawing/2014/chart" uri="{C3380CC4-5D6E-409C-BE32-E72D297353CC}">
              <c16:uniqueId val="{00000001-BE3D-49A1-9C3C-B238DD4230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(4)'!$A$1:$A$9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(4)'!$B$1:$B$9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64-4CF7-930F-63D9424BD49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(14)'!$J$13:$J$15</c:f>
            </c:numRef>
          </c:xVal>
          <c:yVal>
            <c:numRef>
              <c:f>'2 (14)'!$K$13:$K$16</c:f>
            </c:numRef>
          </c:yVal>
          <c:smooth val="0"/>
          <c:extLst>
            <c:ext xmlns:c16="http://schemas.microsoft.com/office/drawing/2014/chart" uri="{C3380CC4-5D6E-409C-BE32-E72D297353CC}">
              <c16:uniqueId val="{00000001-0164-4CF7-930F-63D9424BD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217479394023123E-2"/>
          <c:w val="0.78920868444076064"/>
          <c:h val="0.79069001243265646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(4)'!$A$1:$A$9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(4)'!$B$1:$B$9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9AB-408D-AAB9-8139BB1B75C7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15"/>
            <c:spPr>
              <a:solidFill>
                <a:schemeClr val="tx1">
                  <a:lumMod val="50000"/>
                  <a:lumOff val="50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'2 (14)'!$J$25:$J$27</c:f>
            </c:numRef>
          </c:xVal>
          <c:yVal>
            <c:numRef>
              <c:f>'2 (14)'!$K$25:$K$27</c:f>
            </c:numRef>
          </c:yVal>
          <c:smooth val="0"/>
          <c:extLst>
            <c:ext xmlns:c16="http://schemas.microsoft.com/office/drawing/2014/chart" uri="{C3380CC4-5D6E-409C-BE32-E72D297353CC}">
              <c16:uniqueId val="{00000001-19AB-408D-AAB9-8139BB1B75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4446384"/>
        <c:axId val="725015088"/>
      </c:scatterChart>
      <c:valAx>
        <c:axId val="724446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5015088"/>
        <c:crosses val="autoZero"/>
        <c:crossBetween val="midCat"/>
        <c:majorUnit val="1"/>
      </c:valAx>
      <c:valAx>
        <c:axId val="725015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24446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31514673193E-2"/>
          <c:w val="0.78943960952249392"/>
          <c:h val="0.79042174112947028"/>
        </c:manualLayout>
      </c:layout>
      <c:scatterChart>
        <c:scatterStyle val="lineMarker"/>
        <c:varyColors val="0"/>
        <c:ser>
          <c:idx val="3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(4)'!$S$1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'3分類 (4)'!$T$1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21-4BC2-9035-DFDFEA2AFA98}"/>
            </c:ext>
          </c:extLst>
        </c:ser>
        <c:ser>
          <c:idx val="4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(4)'!$U$1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'3分類 (4)'!$V$1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21-4BC2-9035-DFDFEA2AFA98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(4)'!$O$1:$O$9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(4)'!$P$1:$P$9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21-4BC2-9035-DFDFEA2AFA98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(4)'!$Q$1:$Q$9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(4)'!$R$1:$R$9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21-4BC2-9035-DFDFEA2AF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19634387812E-2"/>
          <c:w val="0.78943960952249392"/>
          <c:h val="0.81381360224708743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(4)'!$S$13</c:f>
              <c:numCache>
                <c:formatCode>General</c:formatCode>
                <c:ptCount val="1"/>
                <c:pt idx="0">
                  <c:v>2.3333333333333335</c:v>
                </c:pt>
              </c:numCache>
            </c:numRef>
          </c:xVal>
          <c:yVal>
            <c:numRef>
              <c:f>'3分類 (4)'!$T$13</c:f>
              <c:numCache>
                <c:formatCode>General</c:formatCode>
                <c:ptCount val="1"/>
                <c:pt idx="0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5-400B-81A9-C2FC470895AB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(4)'!$U$13</c:f>
              <c:numCache>
                <c:formatCode>General</c:formatCode>
                <c:ptCount val="1"/>
                <c:pt idx="0">
                  <c:v>4.666666666666667</c:v>
                </c:pt>
              </c:numCache>
            </c:numRef>
          </c:xVal>
          <c:yVal>
            <c:numRef>
              <c:f>'3分類 (4)'!$V$13</c:f>
              <c:numCache>
                <c:formatCode>General</c:formatCode>
                <c:ptCount val="1"/>
                <c:pt idx="0">
                  <c:v>4.333333333333333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5-400B-81A9-C2FC470895AB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(4)'!$O$13:$O$21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(4)'!$P$13:$P$21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F55-400B-81A9-C2FC470895AB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(4)'!$Q$13:$Q$21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(4)'!$R$13:$R$21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F55-400B-81A9-C2FC470895AB}"/>
            </c:ext>
          </c:extLst>
        </c:ser>
        <c:ser>
          <c:idx val="2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(4)'!$S$1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'3分類 (4)'!$T$1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BF55-400B-81A9-C2FC470895AB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(4)'!$U$1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'3分類 (4)'!$V$1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BF55-400B-81A9-C2FC47089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19634387812E-2"/>
          <c:w val="0.78943960952249392"/>
          <c:h val="0.79042178938159058"/>
        </c:manualLayout>
      </c:layout>
      <c:scatterChart>
        <c:scatterStyle val="lineMarker"/>
        <c:varyColors val="0"/>
        <c:ser>
          <c:idx val="5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(4)'!$U$13</c:f>
              <c:numCache>
                <c:formatCode>General</c:formatCode>
                <c:ptCount val="1"/>
                <c:pt idx="0">
                  <c:v>4.666666666666667</c:v>
                </c:pt>
              </c:numCache>
            </c:numRef>
          </c:xVal>
          <c:yVal>
            <c:numRef>
              <c:f>'3分類 (4)'!$V$13</c:f>
              <c:numCache>
                <c:formatCode>General</c:formatCode>
                <c:ptCount val="1"/>
                <c:pt idx="0">
                  <c:v>4.333333333333333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4DB-4C0A-8C99-80A980597443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(4)'!$S$13</c:f>
              <c:numCache>
                <c:formatCode>General</c:formatCode>
                <c:ptCount val="1"/>
                <c:pt idx="0">
                  <c:v>2.3333333333333335</c:v>
                </c:pt>
              </c:numCache>
            </c:numRef>
          </c:xVal>
          <c:yVal>
            <c:numRef>
              <c:f>'3分類 (4)'!$T$13</c:f>
              <c:numCache>
                <c:formatCode>General</c:formatCode>
                <c:ptCount val="1"/>
                <c:pt idx="0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4DB-4C0A-8C99-80A980597443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(4)'!$S$25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'3分類 (4)'!$T$25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4DB-4C0A-8C99-80A980597443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(4)'!$U$25</c:f>
              <c:numCache>
                <c:formatCode>General</c:formatCode>
                <c:ptCount val="1"/>
                <c:pt idx="0">
                  <c:v>4.75</c:v>
                </c:pt>
              </c:numCache>
            </c:numRef>
          </c:xVal>
          <c:yVal>
            <c:numRef>
              <c:f>'3分類 (4)'!$V$25</c:f>
              <c:numCache>
                <c:formatCode>General</c:formatCode>
                <c:ptCount val="1"/>
                <c:pt idx="0">
                  <c:v>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4DB-4C0A-8C99-80A980597443}"/>
            </c:ext>
          </c:extLst>
        </c:ser>
        <c:ser>
          <c:idx val="0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(4)'!$O$25:$O$33</c:f>
              <c:numCache>
                <c:formatCode>General</c:formatCode>
                <c:ptCount val="9"/>
                <c:pt idx="0">
                  <c:v>-1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(4)'!$P$25:$P$33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4DB-4C0A-8C99-80A980597443}"/>
            </c:ext>
          </c:extLst>
        </c:ser>
        <c:ser>
          <c:idx val="1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(4)'!$Q$25:$Q$33</c:f>
              <c:numCache>
                <c:formatCode>General</c:formatCode>
                <c:ptCount val="9"/>
                <c:pt idx="0">
                  <c:v>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(4)'!$R$25:$R$33</c:f>
              <c:numCache>
                <c:formatCode>General</c:formatCode>
                <c:ptCount val="9"/>
                <c:pt idx="0">
                  <c:v>2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4DB-4C0A-8C99-80A980597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3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(4)'!$S$1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'3分類 (4)'!$T$1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0AB-4150-B0C8-3FF816EEF568}"/>
            </c:ext>
          </c:extLst>
        </c:ser>
        <c:ser>
          <c:idx val="4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(4)'!$U$1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'3分類 (4)'!$V$1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0AB-4150-B0C8-3FF816EEF568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(4)'!$O$1:$O$9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(4)'!$P$1:$P$9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0AB-4150-B0C8-3FF816EEF568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(4)'!$Q$1:$Q$9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(4)'!$R$1:$R$9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0AB-4150-B0C8-3FF816EEF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32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80224264096645"/>
          <c:y val="5.3238258792250019E-2"/>
          <c:w val="0.79225258370965745"/>
          <c:h val="0.7900022539950853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(4)'!$O$1:$O$9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(4)'!$P$1:$P$9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DC-405A-B733-6350944761D9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(4)'!$Q$1:$Q$9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(4)'!$R$1:$R$9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DC-405A-B733-6350944761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31514673193E-2"/>
          <c:w val="0.78943960952249392"/>
          <c:h val="0.7904217411294702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(4)'!$O$1:$O$9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(4)'!$P$1:$P$9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9EF-41D8-9668-43E761CEDFB1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(4)'!$Q$1:$Q$9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(4)'!$R$1:$R$9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9EF-41D8-9668-43E761CEDF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31514673193E-2"/>
          <c:w val="0.78943960952249392"/>
          <c:h val="0.79042174112947028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(5)'!$D$11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'3分類 (5)'!$E$11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E4F-4B5A-858C-4185D2EF4531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(5)'!$F$11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'3分類 (5)'!$G$11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E4F-4B5A-858C-4185D2EF4531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(5)'!$M$2:$M$10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(5)'!$N$2:$N$10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E4F-4B5A-858C-4185D2EF4531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(5)'!$O$2:$O$10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(5)'!$P$2:$P$10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E4F-4B5A-858C-4185D2EF45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19634387812E-2"/>
          <c:w val="0.78943960952249392"/>
          <c:h val="0.81381360224708743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(5)'!$D$23</c:f>
              <c:numCache>
                <c:formatCode>General</c:formatCode>
                <c:ptCount val="1"/>
                <c:pt idx="0">
                  <c:v>2.3333333333333335</c:v>
                </c:pt>
              </c:numCache>
            </c:numRef>
          </c:xVal>
          <c:yVal>
            <c:numRef>
              <c:f>'3分類 (5)'!$E$23</c:f>
              <c:numCache>
                <c:formatCode>General</c:formatCode>
                <c:ptCount val="1"/>
                <c:pt idx="0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F6-4495-ABDA-700A9FB6F804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(5)'!$F$23</c:f>
              <c:numCache>
                <c:formatCode>General</c:formatCode>
                <c:ptCount val="1"/>
                <c:pt idx="0">
                  <c:v>4.666666666666667</c:v>
                </c:pt>
              </c:numCache>
            </c:numRef>
          </c:xVal>
          <c:yVal>
            <c:numRef>
              <c:f>'3分類 (5)'!$G$23</c:f>
              <c:numCache>
                <c:formatCode>General</c:formatCode>
                <c:ptCount val="1"/>
                <c:pt idx="0">
                  <c:v>4.333333333333333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3F6-4495-ABDA-700A9FB6F804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(5)'!$M$14:$M$22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(5)'!$N$14:$N$22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3F6-4495-ABDA-700A9FB6F804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(5)'!$O$14:$O$22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(5)'!$P$14:$P$22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3F6-4495-ABDA-700A9FB6F804}"/>
            </c:ext>
          </c:extLst>
        </c:ser>
        <c:ser>
          <c:idx val="2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(5)'!$D$11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'3分類 (5)'!$E$11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3F6-4495-ABDA-700A9FB6F804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(5)'!$F$11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'3分類 (5)'!$G$11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3F6-4495-ABDA-700A9FB6F8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19634387812E-2"/>
          <c:w val="0.78943960952249392"/>
          <c:h val="0.79042178938159058"/>
        </c:manualLayout>
      </c:layout>
      <c:scatterChart>
        <c:scatterStyle val="lineMarker"/>
        <c:varyColors val="0"/>
        <c:ser>
          <c:idx val="5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(5)'!$F$23</c:f>
              <c:numCache>
                <c:formatCode>General</c:formatCode>
                <c:ptCount val="1"/>
                <c:pt idx="0">
                  <c:v>4.666666666666667</c:v>
                </c:pt>
              </c:numCache>
            </c:numRef>
          </c:xVal>
          <c:yVal>
            <c:numRef>
              <c:f>'3分類 (5)'!$G$23</c:f>
              <c:numCache>
                <c:formatCode>General</c:formatCode>
                <c:ptCount val="1"/>
                <c:pt idx="0">
                  <c:v>4.333333333333333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EC-4968-8FC6-AB23988F9148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(5)'!$D$23</c:f>
              <c:numCache>
                <c:formatCode>General</c:formatCode>
                <c:ptCount val="1"/>
                <c:pt idx="0">
                  <c:v>2.3333333333333335</c:v>
                </c:pt>
              </c:numCache>
            </c:numRef>
          </c:xVal>
          <c:yVal>
            <c:numRef>
              <c:f>'3分類 (5)'!$E$23</c:f>
              <c:numCache>
                <c:formatCode>General</c:formatCode>
                <c:ptCount val="1"/>
                <c:pt idx="0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EC-4968-8FC6-AB23988F9148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(5)'!$D$35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'3分類 (5)'!$E$35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5EC-4968-8FC6-AB23988F9148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(5)'!$F$35</c:f>
              <c:numCache>
                <c:formatCode>General</c:formatCode>
                <c:ptCount val="1"/>
                <c:pt idx="0">
                  <c:v>4.75</c:v>
                </c:pt>
              </c:numCache>
            </c:numRef>
          </c:xVal>
          <c:yVal>
            <c:numRef>
              <c:f>'3分類 (5)'!$G$35</c:f>
              <c:numCache>
                <c:formatCode>General</c:formatCode>
                <c:ptCount val="1"/>
                <c:pt idx="0">
                  <c:v>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5EC-4968-8FC6-AB23988F9148}"/>
            </c:ext>
          </c:extLst>
        </c:ser>
        <c:ser>
          <c:idx val="0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(5)'!$M$26:$M$34</c:f>
              <c:numCache>
                <c:formatCode>General</c:formatCode>
                <c:ptCount val="9"/>
                <c:pt idx="0">
                  <c:v>-1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(5)'!$N$26:$N$34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5EC-4968-8FC6-AB23988F9148}"/>
            </c:ext>
          </c:extLst>
        </c:ser>
        <c:ser>
          <c:idx val="1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(5)'!$O$26:$O$34</c:f>
              <c:numCache>
                <c:formatCode>General</c:formatCode>
                <c:ptCount val="9"/>
                <c:pt idx="0">
                  <c:v>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(5)'!$P$26:$P$34</c:f>
              <c:numCache>
                <c:formatCode>General</c:formatCode>
                <c:ptCount val="9"/>
                <c:pt idx="0">
                  <c:v>2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05EC-4968-8FC6-AB23988F91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80224264096645"/>
          <c:y val="5.3238258792250019E-2"/>
          <c:w val="0.79225258370965745"/>
          <c:h val="0.7900022539950853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(5)'!$M$2:$M$10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(5)'!$N$2:$N$10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D02-4EDD-B2C7-7A65BCA20C5F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(5)'!$O$2:$O$10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(5)'!$P$2:$P$10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D02-4EDD-B2C7-7A65BCA20C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31514673193E-2"/>
          <c:w val="0.78943960952249392"/>
          <c:h val="0.7904217411294702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(5)'!$M$2:$M$10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(5)'!$N$2:$N$10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57-4DA9-A692-0B3D456B9516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(5)'!$O$2:$O$10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(5)'!$P$2:$P$10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657-4DA9-A692-0B3D456B9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31514673193E-2"/>
          <c:w val="0.78943960952249392"/>
          <c:h val="0.79042174112947028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(6)'!$D$11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'3分類 (6)'!$E$11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C9-4AF5-AE28-302AD3E21FE3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(6)'!$F$11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'3分類 (6)'!$G$11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AC9-4AF5-AE28-302AD3E21FE3}"/>
            </c:ext>
          </c:extLst>
        </c:ser>
        <c:ser>
          <c:idx val="0"/>
          <c:order val="2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(6)'!$M$2:$M$10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(6)'!$N$2:$N$10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AC9-4AF5-AE28-302AD3E21FE3}"/>
            </c:ext>
          </c:extLst>
        </c:ser>
        <c:ser>
          <c:idx val="1"/>
          <c:order val="3"/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(6)'!$O$2:$O$10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(6)'!$P$2:$P$10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AC9-4AF5-AE28-302AD3E21F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19634387812E-2"/>
          <c:w val="0.78943960952249392"/>
          <c:h val="0.81381360224708743"/>
        </c:manualLayout>
      </c:layout>
      <c:scatterChart>
        <c:scatterStyle val="lineMarker"/>
        <c:varyColors val="0"/>
        <c:ser>
          <c:idx val="3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(6)'!$D$23</c:f>
              <c:numCache>
                <c:formatCode>General</c:formatCode>
                <c:ptCount val="1"/>
                <c:pt idx="0">
                  <c:v>2.3333333333333335</c:v>
                </c:pt>
              </c:numCache>
            </c:numRef>
          </c:xVal>
          <c:yVal>
            <c:numRef>
              <c:f>'3分類 (6)'!$E$23</c:f>
              <c:numCache>
                <c:formatCode>General</c:formatCode>
                <c:ptCount val="1"/>
                <c:pt idx="0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AA-447A-A3F8-FF3AE4D47E40}"/>
            </c:ext>
          </c:extLst>
        </c:ser>
        <c:ser>
          <c:idx val="4"/>
          <c:order val="1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(6)'!$F$23</c:f>
              <c:numCache>
                <c:formatCode>General</c:formatCode>
                <c:ptCount val="1"/>
                <c:pt idx="0">
                  <c:v>4.666666666666667</c:v>
                </c:pt>
              </c:numCache>
            </c:numRef>
          </c:xVal>
          <c:yVal>
            <c:numRef>
              <c:f>'3分類 (6)'!$G$23</c:f>
              <c:numCache>
                <c:formatCode>General</c:formatCode>
                <c:ptCount val="1"/>
                <c:pt idx="0">
                  <c:v>4.333333333333333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BAA-447A-A3F8-FF3AE4D47E40}"/>
            </c:ext>
          </c:extLst>
        </c:ser>
        <c:ser>
          <c:idx val="0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(6)'!$M$14:$M$22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(6)'!$N$14:$N$22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BAA-447A-A3F8-FF3AE4D47E40}"/>
            </c:ext>
          </c:extLst>
        </c:ser>
        <c:ser>
          <c:idx val="1"/>
          <c:order val="3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(6)'!$O$14:$O$22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(6)'!$P$14:$P$22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5BAA-447A-A3F8-FF3AE4D47E40}"/>
            </c:ext>
          </c:extLst>
        </c:ser>
        <c:ser>
          <c:idx val="2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(6)'!$D$11</c:f>
              <c:numCache>
                <c:formatCode>General</c:formatCode>
                <c:ptCount val="1"/>
                <c:pt idx="0">
                  <c:v>2.6</c:v>
                </c:pt>
              </c:numCache>
            </c:numRef>
          </c:xVal>
          <c:yVal>
            <c:numRef>
              <c:f>'3分類 (6)'!$E$11</c:f>
              <c:numCache>
                <c:formatCode>General</c:formatCode>
                <c:ptCount val="1"/>
                <c:pt idx="0">
                  <c:v>1.8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5BAA-447A-A3F8-FF3AE4D47E40}"/>
            </c:ext>
          </c:extLst>
        </c:ser>
        <c:ser>
          <c:idx val="5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(6)'!$F$11</c:f>
              <c:numCache>
                <c:formatCode>General</c:formatCode>
                <c:ptCount val="1"/>
                <c:pt idx="0">
                  <c:v>3.75</c:v>
                </c:pt>
              </c:numCache>
            </c:numRef>
          </c:xVal>
          <c:yVal>
            <c:numRef>
              <c:f>'3分類 (6)'!$G$11</c:f>
              <c:numCache>
                <c:formatCode>General</c:formatCode>
                <c:ptCount val="1"/>
                <c:pt idx="0">
                  <c:v>4.25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5BAA-447A-A3F8-FF3AE4D47E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19634387812E-2"/>
          <c:w val="0.78943960952249392"/>
          <c:h val="0.79042178938159058"/>
        </c:manualLayout>
      </c:layout>
      <c:scatterChart>
        <c:scatterStyle val="lineMarker"/>
        <c:varyColors val="0"/>
        <c:ser>
          <c:idx val="5"/>
          <c:order val="0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(6)'!$F$23</c:f>
              <c:numCache>
                <c:formatCode>General</c:formatCode>
                <c:ptCount val="1"/>
                <c:pt idx="0">
                  <c:v>4.666666666666667</c:v>
                </c:pt>
              </c:numCache>
            </c:numRef>
          </c:xVal>
          <c:yVal>
            <c:numRef>
              <c:f>'3分類 (6)'!$G$23</c:f>
              <c:numCache>
                <c:formatCode>General</c:formatCode>
                <c:ptCount val="1"/>
                <c:pt idx="0">
                  <c:v>4.333333333333333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F47-465F-B810-9583FBA76E90}"/>
            </c:ext>
          </c:extLst>
        </c:ser>
        <c:ser>
          <c:idx val="2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bg1">
                  <a:lumMod val="65000"/>
                </a:schemeClr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  <a:prstDash val="sysDash"/>
              </a:ln>
              <a:effectLst/>
            </c:spPr>
          </c:marker>
          <c:xVal>
            <c:numRef>
              <c:f>'3分類 (6)'!$D$23</c:f>
              <c:numCache>
                <c:formatCode>General</c:formatCode>
                <c:ptCount val="1"/>
                <c:pt idx="0">
                  <c:v>2.3333333333333335</c:v>
                </c:pt>
              </c:numCache>
            </c:numRef>
          </c:xVal>
          <c:yVal>
            <c:numRef>
              <c:f>'3分類 (6)'!$E$23</c:f>
              <c:numCache>
                <c:formatCode>General</c:formatCode>
                <c:ptCount val="1"/>
                <c:pt idx="0">
                  <c:v>2.1666666666666665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F47-465F-B810-9583FBA76E90}"/>
            </c:ext>
          </c:extLst>
        </c:ser>
        <c:ser>
          <c:idx val="3"/>
          <c:order val="2"/>
          <c:spPr>
            <a:ln w="25400" cap="rnd">
              <a:noFill/>
              <a:round/>
            </a:ln>
            <a:effectLst/>
          </c:spPr>
          <c:marker>
            <c:symbol val="circle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(6)'!$D$35</c:f>
              <c:numCache>
                <c:formatCode>General</c:formatCode>
                <c:ptCount val="1"/>
                <c:pt idx="0">
                  <c:v>1.8</c:v>
                </c:pt>
              </c:numCache>
            </c:numRef>
          </c:xVal>
          <c:yVal>
            <c:numRef>
              <c:f>'3分類 (6)'!$E$35</c:f>
              <c:numCache>
                <c:formatCode>General</c:formatCode>
                <c:ptCount val="1"/>
                <c:pt idx="0">
                  <c:v>2.2000000000000002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F47-465F-B810-9583FBA76E90}"/>
            </c:ext>
          </c:extLst>
        </c:ser>
        <c:ser>
          <c:idx val="4"/>
          <c:order val="3"/>
          <c:spPr>
            <a:ln w="25400" cap="rnd">
              <a:noFill/>
              <a:round/>
            </a:ln>
            <a:effectLst/>
          </c:spPr>
          <c:marker>
            <c:symbol val="diamond"/>
            <c:size val="20"/>
            <c:spPr>
              <a:solidFill>
                <a:schemeClr val="tx1">
                  <a:lumMod val="75000"/>
                  <a:lumOff val="25000"/>
                </a:schemeClr>
              </a:solidFill>
              <a:ln w="9525">
                <a:solidFill>
                  <a:schemeClr val="tx1"/>
                </a:solidFill>
              </a:ln>
              <a:effectLst/>
            </c:spPr>
          </c:marker>
          <c:xVal>
            <c:numRef>
              <c:f>'3分類 (6)'!$F$35</c:f>
              <c:numCache>
                <c:formatCode>General</c:formatCode>
                <c:ptCount val="1"/>
                <c:pt idx="0">
                  <c:v>4.75</c:v>
                </c:pt>
              </c:numCache>
            </c:numRef>
          </c:xVal>
          <c:yVal>
            <c:numRef>
              <c:f>'3分類 (6)'!$G$35</c:f>
              <c:numCache>
                <c:formatCode>General</c:formatCode>
                <c:ptCount val="1"/>
                <c:pt idx="0">
                  <c:v>3.75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F47-465F-B810-9583FBA76E90}"/>
            </c:ext>
          </c:extLst>
        </c:ser>
        <c:ser>
          <c:idx val="0"/>
          <c:order val="4"/>
          <c:spPr>
            <a:ln w="2540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(6)'!$M$26:$M$34</c:f>
              <c:numCache>
                <c:formatCode>General</c:formatCode>
                <c:ptCount val="9"/>
                <c:pt idx="0">
                  <c:v>-1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(6)'!$N$26:$N$34</c:f>
              <c:numCache>
                <c:formatCode>General</c:formatCode>
                <c:ptCount val="9"/>
                <c:pt idx="0">
                  <c:v>-1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4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F47-465F-B810-9583FBA76E90}"/>
            </c:ext>
          </c:extLst>
        </c:ser>
        <c:ser>
          <c:idx val="1"/>
          <c:order val="5"/>
          <c:spPr>
            <a:ln w="2540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(6)'!$O$26:$O$34</c:f>
              <c:numCache>
                <c:formatCode>General</c:formatCode>
                <c:ptCount val="9"/>
                <c:pt idx="0">
                  <c:v>5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(6)'!$P$26:$P$34</c:f>
              <c:numCache>
                <c:formatCode>General</c:formatCode>
                <c:ptCount val="9"/>
                <c:pt idx="0">
                  <c:v>2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F47-465F-B810-9583FBA76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580224264096645"/>
          <c:y val="5.3238258792250019E-2"/>
          <c:w val="0.79225258370965745"/>
          <c:h val="0.79000225399508539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(6)'!$M$2:$M$10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(6)'!$N$2:$N$10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7D8-490B-BAEA-D002DE9E1100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(6)'!$O$2:$O$10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(6)'!$P$2:$P$10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7D8-490B-BAEA-D002DE9E11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0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8752590136759"/>
          <c:y val="5.1600831514673193E-2"/>
          <c:w val="0.78943960952249392"/>
          <c:h val="0.79042174112947028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(6)'!$M$2:$M$10</c:f>
              <c:numCache>
                <c:formatCode>General</c:formatCode>
                <c:ptCount val="9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xVal>
          <c:yVal>
            <c:numRef>
              <c:f>'3分類 (6)'!$N$2:$N$10</c:f>
              <c:numCache>
                <c:formatCode>General</c:formatCode>
                <c:ptCount val="9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1</c:v>
                </c:pt>
                <c:pt idx="4">
                  <c:v>3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A45-4892-8057-F3228C035BC3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diamond"/>
            <c:size val="10"/>
            <c:spPr>
              <a:solidFill>
                <a:schemeClr val="bg1">
                  <a:lumMod val="85000"/>
                </a:schemeClr>
              </a:solidFill>
              <a:ln w="9525">
                <a:solidFill>
                  <a:schemeClr val="bg1">
                    <a:lumMod val="50000"/>
                  </a:schemeClr>
                </a:solidFill>
              </a:ln>
              <a:effectLst/>
            </c:spPr>
          </c:marker>
          <c:xVal>
            <c:numRef>
              <c:f>'3分類 (6)'!$O$2:$O$10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1</c:v>
                </c:pt>
                <c:pt idx="6">
                  <c:v>4</c:v>
                </c:pt>
                <c:pt idx="7">
                  <c:v>5</c:v>
                </c:pt>
                <c:pt idx="8">
                  <c:v>5</c:v>
                </c:pt>
              </c:numCache>
            </c:numRef>
          </c:xVal>
          <c:yVal>
            <c:numRef>
              <c:f>'3分類 (6)'!$P$2:$P$10</c:f>
              <c:numCache>
                <c:formatCode>General</c:formatCode>
                <c:ptCount val="9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A45-4892-8057-F3228C035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4709664"/>
        <c:axId val="1300138192"/>
      </c:scatterChart>
      <c:valAx>
        <c:axId val="1224709664"/>
        <c:scaling>
          <c:orientation val="minMax"/>
          <c:max val="6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300138192"/>
        <c:crosses val="autoZero"/>
        <c:crossBetween val="midCat"/>
        <c:majorUnit val="1"/>
      </c:valAx>
      <c:valAx>
        <c:axId val="13001381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247096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2400"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1.xml"/><Relationship Id="rId1" Type="http://schemas.openxmlformats.org/officeDocument/2006/relationships/chart" Target="../charts/chart20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4.xml"/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6" Type="http://schemas.openxmlformats.org/officeDocument/2006/relationships/chart" Target="../charts/chart33.xml"/><Relationship Id="rId5" Type="http://schemas.openxmlformats.org/officeDocument/2006/relationships/chart" Target="../charts/chart32.xml"/><Relationship Id="rId4" Type="http://schemas.openxmlformats.org/officeDocument/2006/relationships/chart" Target="../charts/chart31.xml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6.xml"/><Relationship Id="rId2" Type="http://schemas.openxmlformats.org/officeDocument/2006/relationships/chart" Target="../charts/chart35.xml"/><Relationship Id="rId1" Type="http://schemas.openxmlformats.org/officeDocument/2006/relationships/chart" Target="../charts/chart34.xml"/><Relationship Id="rId6" Type="http://schemas.openxmlformats.org/officeDocument/2006/relationships/chart" Target="../charts/chart39.xml"/><Relationship Id="rId5" Type="http://schemas.openxmlformats.org/officeDocument/2006/relationships/chart" Target="../charts/chart38.xml"/><Relationship Id="rId4" Type="http://schemas.openxmlformats.org/officeDocument/2006/relationships/chart" Target="../charts/chart37.xml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2.xml"/><Relationship Id="rId2" Type="http://schemas.openxmlformats.org/officeDocument/2006/relationships/chart" Target="../charts/chart41.xml"/><Relationship Id="rId1" Type="http://schemas.openxmlformats.org/officeDocument/2006/relationships/chart" Target="../charts/chart40.xml"/><Relationship Id="rId6" Type="http://schemas.openxmlformats.org/officeDocument/2006/relationships/chart" Target="../charts/chart45.xml"/><Relationship Id="rId5" Type="http://schemas.openxmlformats.org/officeDocument/2006/relationships/chart" Target="../charts/chart44.xml"/><Relationship Id="rId4" Type="http://schemas.openxmlformats.org/officeDocument/2006/relationships/chart" Target="../charts/chart43.xml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8.xml"/><Relationship Id="rId2" Type="http://schemas.openxmlformats.org/officeDocument/2006/relationships/chart" Target="../charts/chart47.xml"/><Relationship Id="rId1" Type="http://schemas.openxmlformats.org/officeDocument/2006/relationships/chart" Target="../charts/chart46.xml"/><Relationship Id="rId6" Type="http://schemas.openxmlformats.org/officeDocument/2006/relationships/chart" Target="../charts/chart51.xml"/><Relationship Id="rId5" Type="http://schemas.openxmlformats.org/officeDocument/2006/relationships/chart" Target="../charts/chart50.xml"/><Relationship Id="rId4" Type="http://schemas.openxmlformats.org/officeDocument/2006/relationships/chart" Target="../charts/chart49.xml"/></Relationships>
</file>

<file path=xl/drawings/_rels/drawing20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9.xml"/><Relationship Id="rId3" Type="http://schemas.openxmlformats.org/officeDocument/2006/relationships/chart" Target="../charts/chart54.xml"/><Relationship Id="rId7" Type="http://schemas.openxmlformats.org/officeDocument/2006/relationships/chart" Target="../charts/chart58.xml"/><Relationship Id="rId2" Type="http://schemas.openxmlformats.org/officeDocument/2006/relationships/chart" Target="../charts/chart53.xml"/><Relationship Id="rId1" Type="http://schemas.openxmlformats.org/officeDocument/2006/relationships/chart" Target="../charts/chart52.xml"/><Relationship Id="rId6" Type="http://schemas.openxmlformats.org/officeDocument/2006/relationships/chart" Target="../charts/chart57.xml"/><Relationship Id="rId5" Type="http://schemas.openxmlformats.org/officeDocument/2006/relationships/chart" Target="../charts/chart56.xml"/><Relationship Id="rId4" Type="http://schemas.openxmlformats.org/officeDocument/2006/relationships/chart" Target="../charts/chart55.xml"/></Relationships>
</file>

<file path=xl/drawings/_rels/drawing2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67.xml"/><Relationship Id="rId3" Type="http://schemas.openxmlformats.org/officeDocument/2006/relationships/chart" Target="../charts/chart62.xml"/><Relationship Id="rId7" Type="http://schemas.openxmlformats.org/officeDocument/2006/relationships/chart" Target="../charts/chart66.xml"/><Relationship Id="rId2" Type="http://schemas.openxmlformats.org/officeDocument/2006/relationships/chart" Target="../charts/chart61.xml"/><Relationship Id="rId1" Type="http://schemas.openxmlformats.org/officeDocument/2006/relationships/chart" Target="../charts/chart60.xml"/><Relationship Id="rId6" Type="http://schemas.openxmlformats.org/officeDocument/2006/relationships/chart" Target="../charts/chart65.xml"/><Relationship Id="rId5" Type="http://schemas.openxmlformats.org/officeDocument/2006/relationships/chart" Target="../charts/chart64.xml"/><Relationship Id="rId4" Type="http://schemas.openxmlformats.org/officeDocument/2006/relationships/chart" Target="../charts/chart63.xml"/><Relationship Id="rId9" Type="http://schemas.openxmlformats.org/officeDocument/2006/relationships/chart" Target="../charts/chart68.xml"/></Relationships>
</file>

<file path=xl/drawings/_rels/drawing2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1.xml"/><Relationship Id="rId2" Type="http://schemas.openxmlformats.org/officeDocument/2006/relationships/chart" Target="../charts/chart70.xml"/><Relationship Id="rId1" Type="http://schemas.openxmlformats.org/officeDocument/2006/relationships/chart" Target="../charts/chart69.xml"/><Relationship Id="rId5" Type="http://schemas.openxmlformats.org/officeDocument/2006/relationships/chart" Target="../charts/chart73.xml"/><Relationship Id="rId4" Type="http://schemas.openxmlformats.org/officeDocument/2006/relationships/chart" Target="../charts/chart72.xml"/></Relationships>
</file>

<file path=xl/drawings/_rels/drawing2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6.xml"/><Relationship Id="rId2" Type="http://schemas.openxmlformats.org/officeDocument/2006/relationships/chart" Target="../charts/chart75.xml"/><Relationship Id="rId1" Type="http://schemas.openxmlformats.org/officeDocument/2006/relationships/chart" Target="../charts/chart74.xml"/><Relationship Id="rId5" Type="http://schemas.openxmlformats.org/officeDocument/2006/relationships/chart" Target="../charts/chart78.xml"/><Relationship Id="rId4" Type="http://schemas.openxmlformats.org/officeDocument/2006/relationships/chart" Target="../charts/chart7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33</xdr:col>
      <xdr:colOff>0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06FB094-9900-487C-B906-5082C29BA0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33</xdr:col>
      <xdr:colOff>0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154583A9-9FCB-4572-9656-08D3BB4C83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</xdr:row>
      <xdr:rowOff>0</xdr:rowOff>
    </xdr:from>
    <xdr:to>
      <xdr:col>38</xdr:col>
      <xdr:colOff>0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E3AD7A24-FDA4-45A4-B548-C61AF84A2E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</xdr:row>
      <xdr:rowOff>0</xdr:rowOff>
    </xdr:from>
    <xdr:to>
      <xdr:col>38</xdr:col>
      <xdr:colOff>0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6CA05AF4-F747-4DF8-978A-7A9EB7B818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3</xdr:row>
      <xdr:rowOff>0</xdr:rowOff>
    </xdr:from>
    <xdr:to>
      <xdr:col>33</xdr:col>
      <xdr:colOff>0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FA2D2030-11A7-4739-83E3-C4A43EA009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3</xdr:row>
      <xdr:rowOff>0</xdr:rowOff>
    </xdr:from>
    <xdr:to>
      <xdr:col>38</xdr:col>
      <xdr:colOff>0</xdr:colOff>
      <xdr:row>22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6F8C51F-6837-47EB-886C-45D2DCDC56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26</xdr:row>
      <xdr:rowOff>0</xdr:rowOff>
    </xdr:from>
    <xdr:to>
      <xdr:col>38</xdr:col>
      <xdr:colOff>0</xdr:colOff>
      <xdr:row>45</xdr:row>
      <xdr:rowOff>-1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4DC0F60-54AB-4CE4-9B95-7C267FA9F2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5</xdr:row>
      <xdr:rowOff>0</xdr:rowOff>
    </xdr:from>
    <xdr:to>
      <xdr:col>38</xdr:col>
      <xdr:colOff>0</xdr:colOff>
      <xdr:row>26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39474B26-9EE9-4CC6-AFCE-649CDE1286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30</xdr:row>
      <xdr:rowOff>0</xdr:rowOff>
    </xdr:from>
    <xdr:to>
      <xdr:col>38</xdr:col>
      <xdr:colOff>0</xdr:colOff>
      <xdr:row>49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9D7D07A-7BC9-4C38-A39A-1C397C6398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5</xdr:row>
      <xdr:rowOff>0</xdr:rowOff>
    </xdr:from>
    <xdr:to>
      <xdr:col>42</xdr:col>
      <xdr:colOff>0</xdr:colOff>
      <xdr:row>26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47CC2BD0-0D76-4497-91D2-0C18CA541B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30</xdr:row>
      <xdr:rowOff>0</xdr:rowOff>
    </xdr:from>
    <xdr:to>
      <xdr:col>42</xdr:col>
      <xdr:colOff>0</xdr:colOff>
      <xdr:row>49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7BDE3A5-9F2F-493B-A1BB-E6AA7E8968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5</xdr:row>
      <xdr:rowOff>0</xdr:rowOff>
    </xdr:from>
    <xdr:to>
      <xdr:col>38</xdr:col>
      <xdr:colOff>0</xdr:colOff>
      <xdr:row>26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A624633-7CAB-4B91-BF97-047F9EAD53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0</xdr:colOff>
      <xdr:row>30</xdr:row>
      <xdr:rowOff>0</xdr:rowOff>
    </xdr:from>
    <xdr:to>
      <xdr:col>38</xdr:col>
      <xdr:colOff>0</xdr:colOff>
      <xdr:row>49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E4F7540-D17D-4228-AF6C-FDCC4B7AEB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7</xdr:row>
      <xdr:rowOff>0</xdr:rowOff>
    </xdr:from>
    <xdr:to>
      <xdr:col>42</xdr:col>
      <xdr:colOff>0</xdr:colOff>
      <xdr:row>30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89E36FE-6206-4A43-B3AD-FF46B2714B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42</xdr:col>
      <xdr:colOff>0</xdr:colOff>
      <xdr:row>53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28CBD1A-F470-45E3-95CB-B51EB9225F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7</xdr:row>
      <xdr:rowOff>0</xdr:rowOff>
    </xdr:from>
    <xdr:to>
      <xdr:col>42</xdr:col>
      <xdr:colOff>0</xdr:colOff>
      <xdr:row>30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D832C66C-98ED-4413-A4BF-3CEB7945790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42</xdr:col>
      <xdr:colOff>0</xdr:colOff>
      <xdr:row>53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A791246-68CB-4D77-A384-666F66C143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7</xdr:row>
      <xdr:rowOff>0</xdr:rowOff>
    </xdr:from>
    <xdr:to>
      <xdr:col>42</xdr:col>
      <xdr:colOff>0</xdr:colOff>
      <xdr:row>30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664DB75-6AD7-4A0C-8A97-C96C005C6F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42</xdr:col>
      <xdr:colOff>0</xdr:colOff>
      <xdr:row>53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4963316-7421-44E1-9944-039749B5729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7</xdr:row>
      <xdr:rowOff>0</xdr:rowOff>
    </xdr:from>
    <xdr:to>
      <xdr:col>42</xdr:col>
      <xdr:colOff>0</xdr:colOff>
      <xdr:row>30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E39F5C3-AB2E-426F-9506-95AE443544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42</xdr:col>
      <xdr:colOff>0</xdr:colOff>
      <xdr:row>53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A18D4A1-E537-4320-80BF-13ECD2EA4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7</xdr:row>
      <xdr:rowOff>0</xdr:rowOff>
    </xdr:from>
    <xdr:to>
      <xdr:col>42</xdr:col>
      <xdr:colOff>0</xdr:colOff>
      <xdr:row>30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24C1410-E1D5-425B-A2FA-6F1B5E7789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42</xdr:col>
      <xdr:colOff>0</xdr:colOff>
      <xdr:row>53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693BF037-79CB-4377-BC32-4420635D37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55</xdr:row>
      <xdr:rowOff>0</xdr:rowOff>
    </xdr:from>
    <xdr:to>
      <xdr:col>42</xdr:col>
      <xdr:colOff>0</xdr:colOff>
      <xdr:row>74</xdr:row>
      <xdr:rowOff>-1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53FFA5BA-D67B-4378-BB9E-8CDE5BF6C1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0</xdr:colOff>
      <xdr:row>7</xdr:row>
      <xdr:rowOff>0</xdr:rowOff>
    </xdr:from>
    <xdr:to>
      <xdr:col>42</xdr:col>
      <xdr:colOff>0</xdr:colOff>
      <xdr:row>30</xdr:row>
      <xdr:rowOff>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A7EA019-06F4-4359-9977-0D548DA22C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0</xdr:colOff>
      <xdr:row>34</xdr:row>
      <xdr:rowOff>0</xdr:rowOff>
    </xdr:from>
    <xdr:to>
      <xdr:col>42</xdr:col>
      <xdr:colOff>0</xdr:colOff>
      <xdr:row>53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3D0D9891-F031-4800-AEE4-5D83279167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55</xdr:row>
      <xdr:rowOff>0</xdr:rowOff>
    </xdr:from>
    <xdr:to>
      <xdr:col>42</xdr:col>
      <xdr:colOff>0</xdr:colOff>
      <xdr:row>74</xdr:row>
      <xdr:rowOff>-1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68814CB-9EDC-4876-B562-93A5BD0197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0</xdr:colOff>
      <xdr:row>0</xdr:row>
      <xdr:rowOff>0</xdr:rowOff>
    </xdr:from>
    <xdr:to>
      <xdr:col>57</xdr:col>
      <xdr:colOff>0</xdr:colOff>
      <xdr:row>19</xdr:row>
      <xdr:rowOff>-1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A8AD9F56-6E79-4675-96D0-A3EEC2C8BA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38</xdr:col>
      <xdr:colOff>0</xdr:colOff>
      <xdr:row>34</xdr:row>
      <xdr:rowOff>0</xdr:rowOff>
    </xdr:from>
    <xdr:to>
      <xdr:col>57</xdr:col>
      <xdr:colOff>0</xdr:colOff>
      <xdr:row>53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FEF41F6-351F-425D-9DEA-A589D4EB40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38</xdr:col>
      <xdr:colOff>0</xdr:colOff>
      <xdr:row>55</xdr:row>
      <xdr:rowOff>0</xdr:rowOff>
    </xdr:from>
    <xdr:to>
      <xdr:col>57</xdr:col>
      <xdr:colOff>0</xdr:colOff>
      <xdr:row>74</xdr:row>
      <xdr:rowOff>-1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82F08EFA-05DA-47ED-86B7-1C9BC17C0B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62</xdr:col>
      <xdr:colOff>-1</xdr:colOff>
      <xdr:row>0</xdr:row>
      <xdr:rowOff>27709</xdr:rowOff>
    </xdr:from>
    <xdr:to>
      <xdr:col>81</xdr:col>
      <xdr:colOff>0</xdr:colOff>
      <xdr:row>19</xdr:row>
      <xdr:rowOff>0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C3C5636-7E0F-4522-A315-CE65F8A9C6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62</xdr:col>
      <xdr:colOff>0</xdr:colOff>
      <xdr:row>20</xdr:row>
      <xdr:rowOff>27709</xdr:rowOff>
    </xdr:from>
    <xdr:to>
      <xdr:col>81</xdr:col>
      <xdr:colOff>1</xdr:colOff>
      <xdr:row>39</xdr:row>
      <xdr:rowOff>0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0C021CD8-EA5D-4F10-8EFB-C37FDAAC05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62</xdr:col>
      <xdr:colOff>-1</xdr:colOff>
      <xdr:row>40</xdr:row>
      <xdr:rowOff>0</xdr:rowOff>
    </xdr:from>
    <xdr:to>
      <xdr:col>81</xdr:col>
      <xdr:colOff>0</xdr:colOff>
      <xdr:row>58</xdr:row>
      <xdr:rowOff>203201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167C6D46-84BE-4292-8103-F8F3AAA52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184728</xdr:colOff>
      <xdr:row>0</xdr:row>
      <xdr:rowOff>0</xdr:rowOff>
    </xdr:from>
    <xdr:to>
      <xdr:col>98</xdr:col>
      <xdr:colOff>219364</xdr:colOff>
      <xdr:row>19</xdr:row>
      <xdr:rowOff>-1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8779B23-92A7-4731-BD48-F0E5538BE3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84</xdr:col>
      <xdr:colOff>115454</xdr:colOff>
      <xdr:row>22</xdr:row>
      <xdr:rowOff>196273</xdr:rowOff>
    </xdr:from>
    <xdr:to>
      <xdr:col>99</xdr:col>
      <xdr:colOff>184727</xdr:colOff>
      <xdr:row>41</xdr:row>
      <xdr:rowOff>196272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97C122D5-C198-45FD-A46C-191771253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83</xdr:col>
      <xdr:colOff>46181</xdr:colOff>
      <xdr:row>45</xdr:row>
      <xdr:rowOff>46182</xdr:rowOff>
    </xdr:from>
    <xdr:to>
      <xdr:col>98</xdr:col>
      <xdr:colOff>542636</xdr:colOff>
      <xdr:row>64</xdr:row>
      <xdr:rowOff>46181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D10B81B-722E-495D-BCF5-1CDF82E278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0</xdr:row>
      <xdr:rowOff>0</xdr:rowOff>
    </xdr:from>
    <xdr:to>
      <xdr:col>57</xdr:col>
      <xdr:colOff>0</xdr:colOff>
      <xdr:row>19</xdr:row>
      <xdr:rowOff>-1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47E69310-C768-4655-BC5D-CC51C7E8F2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0</xdr:colOff>
      <xdr:row>20</xdr:row>
      <xdr:rowOff>-1</xdr:rowOff>
    </xdr:from>
    <xdr:to>
      <xdr:col>57</xdr:col>
      <xdr:colOff>0</xdr:colOff>
      <xdr:row>39</xdr:row>
      <xdr:rowOff>-1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E5C61F0F-420A-435B-8454-AC6B0C75E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40</xdr:row>
      <xdr:rowOff>0</xdr:rowOff>
    </xdr:from>
    <xdr:to>
      <xdr:col>57</xdr:col>
      <xdr:colOff>0</xdr:colOff>
      <xdr:row>59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7396EFA-AACC-4506-B115-ED126640D1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81</xdr:col>
      <xdr:colOff>184728</xdr:colOff>
      <xdr:row>0</xdr:row>
      <xdr:rowOff>0</xdr:rowOff>
    </xdr:from>
    <xdr:to>
      <xdr:col>98</xdr:col>
      <xdr:colOff>219364</xdr:colOff>
      <xdr:row>19</xdr:row>
      <xdr:rowOff>-1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7290B67-5AC8-4045-A7B1-839F84E96E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84</xdr:col>
      <xdr:colOff>115454</xdr:colOff>
      <xdr:row>22</xdr:row>
      <xdr:rowOff>196273</xdr:rowOff>
    </xdr:from>
    <xdr:to>
      <xdr:col>99</xdr:col>
      <xdr:colOff>184727</xdr:colOff>
      <xdr:row>41</xdr:row>
      <xdr:rowOff>196272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E47714E7-DCFD-4F6F-932F-727F53DA9D9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83</xdr:col>
      <xdr:colOff>46181</xdr:colOff>
      <xdr:row>45</xdr:row>
      <xdr:rowOff>46182</xdr:rowOff>
    </xdr:from>
    <xdr:to>
      <xdr:col>98</xdr:col>
      <xdr:colOff>542636</xdr:colOff>
      <xdr:row>64</xdr:row>
      <xdr:rowOff>46181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3ACE1A07-B17A-4769-AF2F-D4795DBC64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38</xdr:col>
      <xdr:colOff>0</xdr:colOff>
      <xdr:row>0</xdr:row>
      <xdr:rowOff>0</xdr:rowOff>
    </xdr:from>
    <xdr:to>
      <xdr:col>57</xdr:col>
      <xdr:colOff>0</xdr:colOff>
      <xdr:row>19</xdr:row>
      <xdr:rowOff>-1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14B8975F-BBBE-48E5-B432-A2E3249ADD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38</xdr:col>
      <xdr:colOff>0</xdr:colOff>
      <xdr:row>20</xdr:row>
      <xdr:rowOff>-1</xdr:rowOff>
    </xdr:from>
    <xdr:to>
      <xdr:col>57</xdr:col>
      <xdr:colOff>0</xdr:colOff>
      <xdr:row>39</xdr:row>
      <xdr:rowOff>-1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336CF99F-637B-45A4-96E4-BCE288AD89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38</xdr:col>
      <xdr:colOff>0</xdr:colOff>
      <xdr:row>40</xdr:row>
      <xdr:rowOff>0</xdr:rowOff>
    </xdr:from>
    <xdr:to>
      <xdr:col>57</xdr:col>
      <xdr:colOff>0</xdr:colOff>
      <xdr:row>59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2384082B-B090-4787-B046-F002BB2EFC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184728</xdr:colOff>
      <xdr:row>0</xdr:row>
      <xdr:rowOff>0</xdr:rowOff>
    </xdr:from>
    <xdr:to>
      <xdr:col>90</xdr:col>
      <xdr:colOff>219364</xdr:colOff>
      <xdr:row>19</xdr:row>
      <xdr:rowOff>-1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08A6BE6F-9EEB-4618-A9E1-5E3C10BCCA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76</xdr:col>
      <xdr:colOff>115454</xdr:colOff>
      <xdr:row>22</xdr:row>
      <xdr:rowOff>196273</xdr:rowOff>
    </xdr:from>
    <xdr:to>
      <xdr:col>91</xdr:col>
      <xdr:colOff>184727</xdr:colOff>
      <xdr:row>41</xdr:row>
      <xdr:rowOff>196272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5119FE50-3B46-465A-82D4-A5044E82A6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75</xdr:col>
      <xdr:colOff>46181</xdr:colOff>
      <xdr:row>45</xdr:row>
      <xdr:rowOff>46182</xdr:rowOff>
    </xdr:from>
    <xdr:to>
      <xdr:col>90</xdr:col>
      <xdr:colOff>542636</xdr:colOff>
      <xdr:row>64</xdr:row>
      <xdr:rowOff>46181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A3EDC70-0790-47FC-A821-960EE93EE3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0</xdr:row>
      <xdr:rowOff>0</xdr:rowOff>
    </xdr:from>
    <xdr:to>
      <xdr:col>49</xdr:col>
      <xdr:colOff>0</xdr:colOff>
      <xdr:row>19</xdr:row>
      <xdr:rowOff>-1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9D2368B2-919E-4624-BFED-DAC1B3727C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0</xdr:colOff>
      <xdr:row>20</xdr:row>
      <xdr:rowOff>-1</xdr:rowOff>
    </xdr:from>
    <xdr:to>
      <xdr:col>49</xdr:col>
      <xdr:colOff>0</xdr:colOff>
      <xdr:row>39</xdr:row>
      <xdr:rowOff>-1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4C84401-D20C-4360-8664-6405316061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0</xdr:colOff>
      <xdr:row>40</xdr:row>
      <xdr:rowOff>0</xdr:rowOff>
    </xdr:from>
    <xdr:to>
      <xdr:col>49</xdr:col>
      <xdr:colOff>0</xdr:colOff>
      <xdr:row>59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ABC6A82F-54D7-4828-B69F-3B80E53A0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184728</xdr:colOff>
      <xdr:row>0</xdr:row>
      <xdr:rowOff>0</xdr:rowOff>
    </xdr:from>
    <xdr:to>
      <xdr:col>90</xdr:col>
      <xdr:colOff>219364</xdr:colOff>
      <xdr:row>19</xdr:row>
      <xdr:rowOff>-1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B8F1BA24-65BA-4BFA-A96E-19F14522D5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76</xdr:col>
      <xdr:colOff>115454</xdr:colOff>
      <xdr:row>22</xdr:row>
      <xdr:rowOff>196273</xdr:rowOff>
    </xdr:from>
    <xdr:to>
      <xdr:col>91</xdr:col>
      <xdr:colOff>184727</xdr:colOff>
      <xdr:row>41</xdr:row>
      <xdr:rowOff>196272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CA323B11-CC3F-4985-A53E-D19E607003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75</xdr:col>
      <xdr:colOff>46181</xdr:colOff>
      <xdr:row>45</xdr:row>
      <xdr:rowOff>46182</xdr:rowOff>
    </xdr:from>
    <xdr:to>
      <xdr:col>90</xdr:col>
      <xdr:colOff>542636</xdr:colOff>
      <xdr:row>64</xdr:row>
      <xdr:rowOff>46181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265D3B27-F55C-4018-BD2D-7AAC3C5185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0</xdr:row>
      <xdr:rowOff>0</xdr:rowOff>
    </xdr:from>
    <xdr:to>
      <xdr:col>49</xdr:col>
      <xdr:colOff>0</xdr:colOff>
      <xdr:row>19</xdr:row>
      <xdr:rowOff>-1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32DAA67D-3FC4-48F2-ABE0-9F7CEB72FC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0</xdr:colOff>
      <xdr:row>20</xdr:row>
      <xdr:rowOff>-1</xdr:rowOff>
    </xdr:from>
    <xdr:to>
      <xdr:col>49</xdr:col>
      <xdr:colOff>0</xdr:colOff>
      <xdr:row>39</xdr:row>
      <xdr:rowOff>-1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893E1B7A-F0D2-4AA9-9EB2-55174BA59F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0</xdr:colOff>
      <xdr:row>40</xdr:row>
      <xdr:rowOff>0</xdr:rowOff>
    </xdr:from>
    <xdr:to>
      <xdr:col>49</xdr:col>
      <xdr:colOff>0</xdr:colOff>
      <xdr:row>59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33F31F54-FB40-4DFD-AE7B-E3C769AC9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91</xdr:col>
      <xdr:colOff>624132</xdr:colOff>
      <xdr:row>27</xdr:row>
      <xdr:rowOff>0</xdr:rowOff>
    </xdr:from>
    <xdr:to>
      <xdr:col>98</xdr:col>
      <xdr:colOff>404090</xdr:colOff>
      <xdr:row>46</xdr:row>
      <xdr:rowOff>677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18904EC6-2E4D-4F3E-BF60-C28CDC3208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230908</xdr:colOff>
      <xdr:row>0</xdr:row>
      <xdr:rowOff>1</xdr:rowOff>
    </xdr:from>
    <xdr:to>
      <xdr:col>73</xdr:col>
      <xdr:colOff>0</xdr:colOff>
      <xdr:row>19</xdr:row>
      <xdr:rowOff>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D2A86148-44AA-44A8-96F5-E56EAB28C5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73</xdr:col>
      <xdr:colOff>184728</xdr:colOff>
      <xdr:row>0</xdr:row>
      <xdr:rowOff>0</xdr:rowOff>
    </xdr:from>
    <xdr:to>
      <xdr:col>90</xdr:col>
      <xdr:colOff>219364</xdr:colOff>
      <xdr:row>19</xdr:row>
      <xdr:rowOff>-1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970437C-99C3-4471-AC9B-B9464529C1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76</xdr:col>
      <xdr:colOff>115454</xdr:colOff>
      <xdr:row>22</xdr:row>
      <xdr:rowOff>196273</xdr:rowOff>
    </xdr:from>
    <xdr:to>
      <xdr:col>91</xdr:col>
      <xdr:colOff>184727</xdr:colOff>
      <xdr:row>41</xdr:row>
      <xdr:rowOff>196272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01008EBB-9CDA-4AC8-A533-4EFFB8781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75</xdr:col>
      <xdr:colOff>46181</xdr:colOff>
      <xdr:row>45</xdr:row>
      <xdr:rowOff>46182</xdr:rowOff>
    </xdr:from>
    <xdr:to>
      <xdr:col>90</xdr:col>
      <xdr:colOff>542636</xdr:colOff>
      <xdr:row>64</xdr:row>
      <xdr:rowOff>46181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4A1347F-D36E-419D-B14B-2BA9E5595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30</xdr:col>
      <xdr:colOff>0</xdr:colOff>
      <xdr:row>0</xdr:row>
      <xdr:rowOff>0</xdr:rowOff>
    </xdr:from>
    <xdr:to>
      <xdr:col>49</xdr:col>
      <xdr:colOff>0</xdr:colOff>
      <xdr:row>19</xdr:row>
      <xdr:rowOff>-1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7BD34BC-5AF3-4C5C-82BC-ACBDA535C2F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30</xdr:col>
      <xdr:colOff>0</xdr:colOff>
      <xdr:row>20</xdr:row>
      <xdr:rowOff>-1</xdr:rowOff>
    </xdr:from>
    <xdr:to>
      <xdr:col>49</xdr:col>
      <xdr:colOff>0</xdr:colOff>
      <xdr:row>39</xdr:row>
      <xdr:rowOff>-1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DB3B40D9-B538-4257-A83F-857D721F2F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30</xdr:col>
      <xdr:colOff>0</xdr:colOff>
      <xdr:row>40</xdr:row>
      <xdr:rowOff>0</xdr:rowOff>
    </xdr:from>
    <xdr:to>
      <xdr:col>49</xdr:col>
      <xdr:colOff>0</xdr:colOff>
      <xdr:row>59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02E18EA2-14A8-42F0-AF72-2F3D7C515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91</xdr:col>
      <xdr:colOff>624132</xdr:colOff>
      <xdr:row>27</xdr:row>
      <xdr:rowOff>0</xdr:rowOff>
    </xdr:from>
    <xdr:to>
      <xdr:col>98</xdr:col>
      <xdr:colOff>404090</xdr:colOff>
      <xdr:row>46</xdr:row>
      <xdr:rowOff>677</xdr:rowOff>
    </xdr:to>
    <xdr:graphicFrame macro="">
      <xdr:nvGraphicFramePr>
        <xdr:cNvPr id="8" name="グラフ 7">
          <a:extLst>
            <a:ext uri="{FF2B5EF4-FFF2-40B4-BE49-F238E27FC236}">
              <a16:creationId xmlns:a16="http://schemas.microsoft.com/office/drawing/2014/main" id="{427D4B6A-3865-49C3-BAF7-CDE603433B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53</xdr:col>
      <xdr:colOff>230908</xdr:colOff>
      <xdr:row>0</xdr:row>
      <xdr:rowOff>1</xdr:rowOff>
    </xdr:from>
    <xdr:to>
      <xdr:col>73</xdr:col>
      <xdr:colOff>0</xdr:colOff>
      <xdr:row>19</xdr:row>
      <xdr:rowOff>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190EB87D-EE4E-4AA2-9034-BDC1167DED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54</xdr:col>
      <xdr:colOff>0</xdr:colOff>
      <xdr:row>21</xdr:row>
      <xdr:rowOff>0</xdr:rowOff>
    </xdr:from>
    <xdr:to>
      <xdr:col>72</xdr:col>
      <xdr:colOff>158750</xdr:colOff>
      <xdr:row>39</xdr:row>
      <xdr:rowOff>228599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554DF2F6-61BF-4A9A-A98D-A240636458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43</xdr:col>
      <xdr:colOff>0</xdr:colOff>
      <xdr:row>20</xdr:row>
      <xdr:rowOff>-1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61653553-41A1-42DD-BD38-0671F61FE0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21</xdr:row>
      <xdr:rowOff>-1</xdr:rowOff>
    </xdr:from>
    <xdr:to>
      <xdr:col>43</xdr:col>
      <xdr:colOff>0</xdr:colOff>
      <xdr:row>40</xdr:row>
      <xdr:rowOff>-1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A951CAE3-D90F-43DE-848C-1C6742E3D1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41</xdr:row>
      <xdr:rowOff>0</xdr:rowOff>
    </xdr:from>
    <xdr:to>
      <xdr:col>43</xdr:col>
      <xdr:colOff>0</xdr:colOff>
      <xdr:row>60</xdr:row>
      <xdr:rowOff>0</xdr:rowOff>
    </xdr:to>
    <xdr:graphicFrame macro="">
      <xdr:nvGraphicFramePr>
        <xdr:cNvPr id="7" name="グラフ 6">
          <a:extLst>
            <a:ext uri="{FF2B5EF4-FFF2-40B4-BE49-F238E27FC236}">
              <a16:creationId xmlns:a16="http://schemas.microsoft.com/office/drawing/2014/main" id="{B0F0A8A2-11FE-4AD9-9563-AA77F948EF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230908</xdr:colOff>
      <xdr:row>1</xdr:row>
      <xdr:rowOff>1</xdr:rowOff>
    </xdr:from>
    <xdr:to>
      <xdr:col>67</xdr:col>
      <xdr:colOff>0</xdr:colOff>
      <xdr:row>20</xdr:row>
      <xdr:rowOff>0</xdr:rowOff>
    </xdr:to>
    <xdr:graphicFrame macro="">
      <xdr:nvGraphicFramePr>
        <xdr:cNvPr id="9" name="グラフ 8">
          <a:extLst>
            <a:ext uri="{FF2B5EF4-FFF2-40B4-BE49-F238E27FC236}">
              <a16:creationId xmlns:a16="http://schemas.microsoft.com/office/drawing/2014/main" id="{B07E00F7-311B-4F6E-A220-667A814FFE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0</xdr:colOff>
      <xdr:row>22</xdr:row>
      <xdr:rowOff>0</xdr:rowOff>
    </xdr:from>
    <xdr:to>
      <xdr:col>66</xdr:col>
      <xdr:colOff>158750</xdr:colOff>
      <xdr:row>40</xdr:row>
      <xdr:rowOff>228599</xdr:rowOff>
    </xdr:to>
    <xdr:graphicFrame macro="">
      <xdr:nvGraphicFramePr>
        <xdr:cNvPr id="10" name="グラフ 9">
          <a:extLst>
            <a:ext uri="{FF2B5EF4-FFF2-40B4-BE49-F238E27FC236}">
              <a16:creationId xmlns:a16="http://schemas.microsoft.com/office/drawing/2014/main" id="{B50D6D4F-F108-40B7-98A1-98CC182D58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1</xdr:row>
      <xdr:rowOff>0</xdr:rowOff>
    </xdr:from>
    <xdr:to>
      <xdr:col>43</xdr:col>
      <xdr:colOff>0</xdr:colOff>
      <xdr:row>20</xdr:row>
      <xdr:rowOff>-1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726D29E2-D1D6-4574-8325-607BFB840D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21</xdr:row>
      <xdr:rowOff>-1</xdr:rowOff>
    </xdr:from>
    <xdr:to>
      <xdr:col>43</xdr:col>
      <xdr:colOff>0</xdr:colOff>
      <xdr:row>40</xdr:row>
      <xdr:rowOff>-1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A702AC34-C5A6-4080-8E53-9C608F962D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0</xdr:colOff>
      <xdr:row>41</xdr:row>
      <xdr:rowOff>0</xdr:rowOff>
    </xdr:from>
    <xdr:to>
      <xdr:col>43</xdr:col>
      <xdr:colOff>0</xdr:colOff>
      <xdr:row>60</xdr:row>
      <xdr:rowOff>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640CC300-7C31-47DC-A68F-2CF7D0A9F7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47</xdr:col>
      <xdr:colOff>230908</xdr:colOff>
      <xdr:row>1</xdr:row>
      <xdr:rowOff>1</xdr:rowOff>
    </xdr:from>
    <xdr:to>
      <xdr:col>67</xdr:col>
      <xdr:colOff>0</xdr:colOff>
      <xdr:row>20</xdr:row>
      <xdr:rowOff>0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BCACFAA9-6A32-41BF-AAC1-22887D5E8A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48</xdr:col>
      <xdr:colOff>0</xdr:colOff>
      <xdr:row>22</xdr:row>
      <xdr:rowOff>0</xdr:rowOff>
    </xdr:from>
    <xdr:to>
      <xdr:col>66</xdr:col>
      <xdr:colOff>158750</xdr:colOff>
      <xdr:row>40</xdr:row>
      <xdr:rowOff>228599</xdr:rowOff>
    </xdr:to>
    <xdr:graphicFrame macro="">
      <xdr:nvGraphicFramePr>
        <xdr:cNvPr id="6" name="グラフ 5">
          <a:extLst>
            <a:ext uri="{FF2B5EF4-FFF2-40B4-BE49-F238E27FC236}">
              <a16:creationId xmlns:a16="http://schemas.microsoft.com/office/drawing/2014/main" id="{9C43BCCD-BB93-4095-B42E-B3DE6D61225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4"/>
  <sheetViews>
    <sheetView zoomScale="85" zoomScaleNormal="85" workbookViewId="0">
      <selection sqref="A1:B5"/>
    </sheetView>
  </sheetViews>
  <sheetFormatPr defaultRowHeight="18"/>
  <cols>
    <col min="10" max="45" width="3" customWidth="1"/>
  </cols>
  <sheetData>
    <row r="1" spans="1:36">
      <c r="A1">
        <v>1</v>
      </c>
      <c r="B1">
        <v>1</v>
      </c>
    </row>
    <row r="2" spans="1:36">
      <c r="A2">
        <v>2</v>
      </c>
      <c r="B2">
        <v>2</v>
      </c>
    </row>
    <row r="3" spans="1:36">
      <c r="A3">
        <v>1</v>
      </c>
      <c r="B3">
        <v>2</v>
      </c>
    </row>
    <row r="4" spans="1:36">
      <c r="A4">
        <v>3</v>
      </c>
      <c r="B4">
        <v>4</v>
      </c>
    </row>
    <row r="5" spans="1:36">
      <c r="A5">
        <v>4</v>
      </c>
      <c r="B5">
        <v>2</v>
      </c>
      <c r="AJ5" s="1"/>
    </row>
    <row r="6" spans="1:36">
      <c r="AJ6" s="1"/>
    </row>
    <row r="7" spans="1:36">
      <c r="AJ7" s="1"/>
    </row>
    <row r="8" spans="1:36">
      <c r="AJ8" s="1"/>
    </row>
    <row r="9" spans="1:36">
      <c r="AJ9" s="1"/>
    </row>
    <row r="10" spans="1:36">
      <c r="AJ10" s="1"/>
    </row>
    <row r="11" spans="1:36">
      <c r="AJ11" s="1"/>
    </row>
    <row r="12" spans="1:36">
      <c r="AJ12" s="1"/>
    </row>
    <row r="13" spans="1:36">
      <c r="AJ13" s="1"/>
    </row>
    <row r="14" spans="1:36">
      <c r="AJ14" s="1"/>
    </row>
    <row r="15" spans="1:36">
      <c r="AJ15" s="1"/>
    </row>
    <row r="16" spans="1:36">
      <c r="AJ16" s="1"/>
    </row>
    <row r="17" spans="18:36">
      <c r="AJ17" s="1"/>
    </row>
    <row r="18" spans="18:36">
      <c r="AJ18" s="1"/>
    </row>
    <row r="19" spans="18:36">
      <c r="AJ19" s="1"/>
    </row>
    <row r="24" spans="18:36"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657D-669C-4F7B-A148-A22DACBB5CA2}">
  <dimension ref="A1:AJ24"/>
  <sheetViews>
    <sheetView zoomScale="85" zoomScaleNormal="85" workbookViewId="0">
      <selection sqref="A1:B5"/>
    </sheetView>
  </sheetViews>
  <sheetFormatPr defaultRowHeight="18"/>
  <cols>
    <col min="10" max="45" width="3" customWidth="1"/>
  </cols>
  <sheetData>
    <row r="1" spans="1:36">
      <c r="A1">
        <v>1</v>
      </c>
      <c r="B1">
        <v>1</v>
      </c>
      <c r="C1">
        <f>(A1+A2+A5)/3</f>
        <v>2.3333333333333335</v>
      </c>
      <c r="D1">
        <f>(B1+B2+B5)/3</f>
        <v>1.6666666666666667</v>
      </c>
    </row>
    <row r="2" spans="1:36">
      <c r="A2">
        <v>2</v>
      </c>
      <c r="B2">
        <v>2</v>
      </c>
      <c r="C2">
        <f>(A3+A4)/2</f>
        <v>2</v>
      </c>
      <c r="D2">
        <f>(B3+B4)/2</f>
        <v>3</v>
      </c>
    </row>
    <row r="3" spans="1:36">
      <c r="A3">
        <v>1</v>
      </c>
      <c r="B3">
        <v>2</v>
      </c>
    </row>
    <row r="4" spans="1:36">
      <c r="A4">
        <v>3</v>
      </c>
      <c r="B4">
        <v>4</v>
      </c>
    </row>
    <row r="5" spans="1:36">
      <c r="A5">
        <v>4</v>
      </c>
      <c r="B5">
        <v>2</v>
      </c>
      <c r="AJ5" s="1"/>
    </row>
    <row r="6" spans="1:36">
      <c r="AJ6" s="1"/>
    </row>
    <row r="7" spans="1:36">
      <c r="AJ7" s="1"/>
    </row>
    <row r="8" spans="1:36">
      <c r="AJ8" s="1"/>
    </row>
    <row r="9" spans="1:36">
      <c r="AJ9" s="1"/>
    </row>
    <row r="10" spans="1:36">
      <c r="AJ10" s="1"/>
    </row>
    <row r="11" spans="1:36">
      <c r="AJ11" s="1"/>
    </row>
    <row r="12" spans="1:36">
      <c r="AJ12" s="1"/>
    </row>
    <row r="13" spans="1:36">
      <c r="AJ13" s="1"/>
    </row>
    <row r="14" spans="1:36">
      <c r="AJ14" s="1"/>
    </row>
    <row r="15" spans="1:36">
      <c r="AJ15" s="1"/>
    </row>
    <row r="16" spans="1:36">
      <c r="AJ16" s="1"/>
    </row>
    <row r="17" spans="18:36">
      <c r="AJ17" s="1"/>
    </row>
    <row r="18" spans="18:36">
      <c r="AJ18" s="1"/>
    </row>
    <row r="19" spans="18:36">
      <c r="AJ19" s="1"/>
    </row>
    <row r="24" spans="18:36"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A5872-E9EC-41CE-B7D5-BB1F68D1E3CA}">
  <dimension ref="A1:AO24"/>
  <sheetViews>
    <sheetView zoomScale="85" zoomScaleNormal="85" workbookViewId="0">
      <selection activeCell="A12" sqref="A12:L17"/>
    </sheetView>
  </sheetViews>
  <sheetFormatPr defaultRowHeight="18"/>
  <cols>
    <col min="15" max="50" width="3" customWidth="1"/>
  </cols>
  <sheetData>
    <row r="1" spans="1:41">
      <c r="A1">
        <v>1</v>
      </c>
      <c r="B1">
        <v>1</v>
      </c>
      <c r="C1" t="s">
        <v>1</v>
      </c>
      <c r="D1">
        <f>IF($C1="A",A1,"")</f>
        <v>1</v>
      </c>
      <c r="E1">
        <f>IF($C1="A",B1,"")</f>
        <v>1</v>
      </c>
      <c r="F1" t="str">
        <f>IF($C1="B",A1,"")</f>
        <v/>
      </c>
      <c r="G1" t="str">
        <f>IF($C1="B",B1,"")</f>
        <v/>
      </c>
      <c r="H1">
        <f>D6</f>
        <v>2.3333333333333335</v>
      </c>
      <c r="I1">
        <f>E6</f>
        <v>1.6666666666666667</v>
      </c>
      <c r="J1">
        <f>SQRT((A1-H$1)^2+(B1-I$1)^2)</f>
        <v>1.49071198499986</v>
      </c>
      <c r="K1">
        <f>SQRT((A1-H$2)^2+(B1-I$2)^2)</f>
        <v>2.2360679774997898</v>
      </c>
      <c r="L1" t="str">
        <f>IF(J1&lt;K1,"A","B")</f>
        <v>A</v>
      </c>
    </row>
    <row r="2" spans="1:41">
      <c r="A2">
        <v>2</v>
      </c>
      <c r="B2">
        <v>2</v>
      </c>
      <c r="C2" t="s">
        <v>1</v>
      </c>
      <c r="D2">
        <f t="shared" ref="D2:D5" si="0">IF($C2="A",A2,"")</f>
        <v>2</v>
      </c>
      <c r="E2">
        <f t="shared" ref="E2:E5" si="1">IF($C2="A",B2,"")</f>
        <v>2</v>
      </c>
      <c r="F2" t="str">
        <f t="shared" ref="F2:F5" si="2">IF($C2="B",A2,"")</f>
        <v/>
      </c>
      <c r="G2" t="str">
        <f t="shared" ref="G2:G5" si="3">IF($C2="B",B2,"")</f>
        <v/>
      </c>
      <c r="H2">
        <f>F6</f>
        <v>2</v>
      </c>
      <c r="I2">
        <f>G6</f>
        <v>3</v>
      </c>
      <c r="J2">
        <f t="shared" ref="J2:J5" si="4">SQRT((A2-H$1)^2+(B2-I$1)^2)</f>
        <v>0.47140452079103173</v>
      </c>
      <c r="K2">
        <f t="shared" ref="K2:K5" si="5">SQRT((A2-H$2)^2+(B2-I$2)^2)</f>
        <v>1</v>
      </c>
      <c r="L2" t="str">
        <f t="shared" ref="L2:L5" si="6">IF(J2&lt;K2,"A","B")</f>
        <v>A</v>
      </c>
    </row>
    <row r="3" spans="1:41">
      <c r="A3">
        <v>1</v>
      </c>
      <c r="B3">
        <v>2</v>
      </c>
      <c r="C3" t="s">
        <v>3</v>
      </c>
      <c r="D3" t="str">
        <f t="shared" si="0"/>
        <v/>
      </c>
      <c r="E3" t="str">
        <f t="shared" si="1"/>
        <v/>
      </c>
      <c r="F3">
        <f t="shared" si="2"/>
        <v>1</v>
      </c>
      <c r="G3">
        <f t="shared" si="3"/>
        <v>2</v>
      </c>
      <c r="J3">
        <f t="shared" si="4"/>
        <v>1.3743685418725538</v>
      </c>
      <c r="K3">
        <f t="shared" si="5"/>
        <v>1.4142135623730951</v>
      </c>
      <c r="L3" t="str">
        <f t="shared" si="6"/>
        <v>A</v>
      </c>
    </row>
    <row r="4" spans="1:41">
      <c r="A4">
        <v>3</v>
      </c>
      <c r="B4">
        <v>4</v>
      </c>
      <c r="C4" t="s">
        <v>3</v>
      </c>
      <c r="D4" t="str">
        <f t="shared" si="0"/>
        <v/>
      </c>
      <c r="E4" t="str">
        <f t="shared" si="1"/>
        <v/>
      </c>
      <c r="F4">
        <f t="shared" si="2"/>
        <v>3</v>
      </c>
      <c r="G4">
        <f t="shared" si="3"/>
        <v>4</v>
      </c>
      <c r="J4">
        <f t="shared" si="4"/>
        <v>2.4267032964268394</v>
      </c>
      <c r="K4">
        <f t="shared" si="5"/>
        <v>1.4142135623730951</v>
      </c>
      <c r="L4" t="str">
        <f t="shared" si="6"/>
        <v>B</v>
      </c>
    </row>
    <row r="5" spans="1:41">
      <c r="A5">
        <v>4</v>
      </c>
      <c r="B5">
        <v>2</v>
      </c>
      <c r="C5" t="s">
        <v>1</v>
      </c>
      <c r="D5">
        <f t="shared" si="0"/>
        <v>4</v>
      </c>
      <c r="E5">
        <f t="shared" si="1"/>
        <v>2</v>
      </c>
      <c r="F5" t="str">
        <f t="shared" si="2"/>
        <v/>
      </c>
      <c r="G5" t="str">
        <f t="shared" si="3"/>
        <v/>
      </c>
      <c r="J5">
        <f t="shared" si="4"/>
        <v>1.6996731711975948</v>
      </c>
      <c r="K5">
        <f t="shared" si="5"/>
        <v>2.2360679774997898</v>
      </c>
      <c r="L5" t="str">
        <f t="shared" si="6"/>
        <v>A</v>
      </c>
      <c r="AO5" s="1"/>
    </row>
    <row r="6" spans="1:41">
      <c r="D6">
        <f>AVERAGE(D1:D5)</f>
        <v>2.3333333333333335</v>
      </c>
      <c r="E6">
        <f>AVERAGE(E1:E5)</f>
        <v>1.6666666666666667</v>
      </c>
      <c r="F6">
        <f>AVERAGE(F1:F5)</f>
        <v>2</v>
      </c>
      <c r="G6">
        <f>AVERAGE(G1:G5)</f>
        <v>3</v>
      </c>
      <c r="AO6" s="1"/>
    </row>
    <row r="7" spans="1:41">
      <c r="AO7" s="1"/>
    </row>
    <row r="8" spans="1:41">
      <c r="AO8" s="1"/>
    </row>
    <row r="9" spans="1:41">
      <c r="AO9" s="1"/>
    </row>
    <row r="10" spans="1:41">
      <c r="AO10" s="1"/>
    </row>
    <row r="11" spans="1:41">
      <c r="AO11" s="1"/>
    </row>
    <row r="12" spans="1:41">
      <c r="AO12" s="1"/>
    </row>
    <row r="13" spans="1:41">
      <c r="AO13" s="1"/>
    </row>
    <row r="14" spans="1:41">
      <c r="AO14" s="1"/>
    </row>
    <row r="15" spans="1:41">
      <c r="AO15" s="1"/>
    </row>
    <row r="16" spans="1:41">
      <c r="AO16" s="1"/>
    </row>
    <row r="17" spans="23:41">
      <c r="AO17" s="1"/>
    </row>
    <row r="18" spans="23:41">
      <c r="AO18" s="1"/>
    </row>
    <row r="19" spans="23:41">
      <c r="AO19" s="1"/>
    </row>
    <row r="24" spans="23:41"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2C382-6F21-40C8-AE1E-A37E903CD13B}">
  <dimension ref="A1:AO24"/>
  <sheetViews>
    <sheetView zoomScale="85" zoomScaleNormal="85" workbookViewId="0">
      <selection activeCell="G14" sqref="G14"/>
    </sheetView>
  </sheetViews>
  <sheetFormatPr defaultRowHeight="18"/>
  <cols>
    <col min="15" max="50" width="3" customWidth="1"/>
  </cols>
  <sheetData>
    <row r="1" spans="1:41">
      <c r="A1">
        <v>1</v>
      </c>
      <c r="B1">
        <v>1</v>
      </c>
      <c r="C1" t="s">
        <v>0</v>
      </c>
      <c r="D1">
        <f>IF($C1="A",A1,"")</f>
        <v>1</v>
      </c>
      <c r="E1">
        <f>IF($C1="A",B1,"")</f>
        <v>1</v>
      </c>
      <c r="F1" t="str">
        <f>IF($C1="B",A1,"")</f>
        <v/>
      </c>
      <c r="G1" t="str">
        <f>IF($C1="B",B1,"")</f>
        <v/>
      </c>
      <c r="H1">
        <f>D6</f>
        <v>2</v>
      </c>
      <c r="I1">
        <f>E6</f>
        <v>1.75</v>
      </c>
      <c r="J1">
        <f>SQRT((A1-H$1)^2+(B1-I$1)^2)</f>
        <v>1.25</v>
      </c>
      <c r="K1">
        <f>SQRT((A1-H$2)^2+(B1-I$2)^2)</f>
        <v>3.6055512754639891</v>
      </c>
      <c r="L1" t="str">
        <f>IF(J1&lt;K1,"A","B")</f>
        <v>A</v>
      </c>
    </row>
    <row r="2" spans="1:41">
      <c r="A2">
        <v>2</v>
      </c>
      <c r="B2">
        <v>2</v>
      </c>
      <c r="C2" t="s">
        <v>0</v>
      </c>
      <c r="D2">
        <f t="shared" ref="D2:E5" si="0">IF($C2="A",A2,"")</f>
        <v>2</v>
      </c>
      <c r="E2">
        <f t="shared" si="0"/>
        <v>2</v>
      </c>
      <c r="F2" t="str">
        <f t="shared" ref="F2:G5" si="1">IF($C2="B",A2,"")</f>
        <v/>
      </c>
      <c r="G2" t="str">
        <f t="shared" si="1"/>
        <v/>
      </c>
      <c r="H2">
        <f>F6</f>
        <v>3</v>
      </c>
      <c r="I2">
        <f>G6</f>
        <v>4</v>
      </c>
      <c r="J2">
        <f t="shared" ref="J2:J5" si="2">SQRT((A2-H$1)^2+(B2-I$1)^2)</f>
        <v>0.25</v>
      </c>
      <c r="K2">
        <f t="shared" ref="K2:K5" si="3">SQRT((A2-H$2)^2+(B2-I$2)^2)</f>
        <v>2.2360679774997898</v>
      </c>
      <c r="L2" t="str">
        <f t="shared" ref="L2:L5" si="4">IF(J2&lt;K2,"A","B")</f>
        <v>A</v>
      </c>
    </row>
    <row r="3" spans="1:41">
      <c r="A3">
        <v>1</v>
      </c>
      <c r="B3">
        <v>2</v>
      </c>
      <c r="C3" t="s">
        <v>0</v>
      </c>
      <c r="D3">
        <f t="shared" si="0"/>
        <v>1</v>
      </c>
      <c r="E3">
        <f t="shared" si="0"/>
        <v>2</v>
      </c>
      <c r="F3" t="str">
        <f t="shared" si="1"/>
        <v/>
      </c>
      <c r="G3" t="str">
        <f t="shared" si="1"/>
        <v/>
      </c>
      <c r="J3">
        <f t="shared" si="2"/>
        <v>1.0307764064044151</v>
      </c>
      <c r="K3">
        <f t="shared" si="3"/>
        <v>2.8284271247461903</v>
      </c>
      <c r="L3" t="str">
        <f t="shared" si="4"/>
        <v>A</v>
      </c>
    </row>
    <row r="4" spans="1:41">
      <c r="A4">
        <v>3</v>
      </c>
      <c r="B4">
        <v>4</v>
      </c>
      <c r="C4" t="s">
        <v>2</v>
      </c>
      <c r="D4" t="str">
        <f t="shared" si="0"/>
        <v/>
      </c>
      <c r="E4" t="str">
        <f t="shared" si="0"/>
        <v/>
      </c>
      <c r="F4">
        <f t="shared" si="1"/>
        <v>3</v>
      </c>
      <c r="G4">
        <f t="shared" si="1"/>
        <v>4</v>
      </c>
      <c r="J4">
        <f t="shared" si="2"/>
        <v>2.462214450449026</v>
      </c>
      <c r="K4">
        <f t="shared" si="3"/>
        <v>0</v>
      </c>
      <c r="L4" t="str">
        <f t="shared" si="4"/>
        <v>B</v>
      </c>
    </row>
    <row r="5" spans="1:41">
      <c r="A5">
        <v>4</v>
      </c>
      <c r="B5">
        <v>2</v>
      </c>
      <c r="C5" t="s">
        <v>0</v>
      </c>
      <c r="D5">
        <f t="shared" si="0"/>
        <v>4</v>
      </c>
      <c r="E5">
        <f t="shared" si="0"/>
        <v>2</v>
      </c>
      <c r="F5" t="str">
        <f t="shared" si="1"/>
        <v/>
      </c>
      <c r="G5" t="str">
        <f t="shared" si="1"/>
        <v/>
      </c>
      <c r="J5">
        <f t="shared" si="2"/>
        <v>2.0155644370746373</v>
      </c>
      <c r="K5">
        <f t="shared" si="3"/>
        <v>2.2360679774997898</v>
      </c>
      <c r="L5" t="str">
        <f t="shared" si="4"/>
        <v>A</v>
      </c>
      <c r="AO5" s="1"/>
    </row>
    <row r="6" spans="1:41">
      <c r="D6">
        <f>AVERAGE(D1:D5)</f>
        <v>2</v>
      </c>
      <c r="E6">
        <f>AVERAGE(E1:E5)</f>
        <v>1.75</v>
      </c>
      <c r="F6">
        <f>AVERAGE(F1:F5)</f>
        <v>3</v>
      </c>
      <c r="G6">
        <f>AVERAGE(G1:G5)</f>
        <v>4</v>
      </c>
      <c r="AO6" s="1"/>
    </row>
    <row r="7" spans="1:41">
      <c r="AO7" s="1"/>
    </row>
    <row r="8" spans="1:41">
      <c r="AO8" s="1"/>
    </row>
    <row r="9" spans="1:41">
      <c r="AO9" s="1"/>
    </row>
    <row r="10" spans="1:41">
      <c r="AO10" s="1"/>
    </row>
    <row r="11" spans="1:41">
      <c r="AO11" s="1"/>
    </row>
    <row r="12" spans="1:41">
      <c r="AO12" s="1"/>
    </row>
    <row r="13" spans="1:41">
      <c r="AO13" s="1"/>
    </row>
    <row r="14" spans="1:41">
      <c r="AO14" s="1"/>
    </row>
    <row r="15" spans="1:41">
      <c r="AO15" s="1"/>
    </row>
    <row r="16" spans="1:41">
      <c r="AO16" s="1"/>
    </row>
    <row r="17" spans="23:41">
      <c r="AO17" s="1"/>
    </row>
    <row r="18" spans="23:41">
      <c r="AO18" s="1"/>
    </row>
    <row r="19" spans="23:41">
      <c r="AO19" s="1"/>
    </row>
    <row r="24" spans="23:41"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D8F50-39BF-46F6-B3F5-673B5690641C}">
  <dimension ref="A1:AJ24"/>
  <sheetViews>
    <sheetView zoomScale="85" zoomScaleNormal="85" workbookViewId="0">
      <selection activeCell="A2" sqref="A2"/>
    </sheetView>
  </sheetViews>
  <sheetFormatPr defaultRowHeight="18"/>
  <cols>
    <col min="10" max="45" width="3" customWidth="1"/>
  </cols>
  <sheetData>
    <row r="1" spans="1:36">
      <c r="A1">
        <v>1</v>
      </c>
      <c r="B1">
        <v>1</v>
      </c>
      <c r="C1">
        <f>(A1+A2+A5)/3</f>
        <v>2.3333333333333335</v>
      </c>
      <c r="D1">
        <f>(B1+B2+B5)/3</f>
        <v>1.6666666666666667</v>
      </c>
      <c r="E1">
        <f t="shared" ref="E1:E6" si="0">SQRT((A1-C$1)^2+(B1-D$1)^2)</f>
        <v>1.49071198499986</v>
      </c>
      <c r="F1">
        <f t="shared" ref="F1:F6" si="1">SQRT((A1-C$2)^2+(B1-D$2)^2)</f>
        <v>2.6925824035672519</v>
      </c>
      <c r="G1">
        <f>IF(E1&gt;F1,1,0)</f>
        <v>0</v>
      </c>
    </row>
    <row r="2" spans="1:36">
      <c r="A2">
        <v>2</v>
      </c>
      <c r="B2">
        <v>2</v>
      </c>
      <c r="C2">
        <f>(A3+A4)/2</f>
        <v>2</v>
      </c>
      <c r="D2">
        <f>(B3+B4)/2</f>
        <v>3.5</v>
      </c>
      <c r="E2">
        <f t="shared" si="0"/>
        <v>0.47140452079103173</v>
      </c>
      <c r="F2">
        <f t="shared" si="1"/>
        <v>1.5</v>
      </c>
      <c r="G2">
        <f t="shared" ref="G2:G6" si="2">IF(E2&gt;F2,1,0)</f>
        <v>0</v>
      </c>
    </row>
    <row r="3" spans="1:36">
      <c r="A3">
        <v>1</v>
      </c>
      <c r="B3">
        <v>3</v>
      </c>
      <c r="E3">
        <f t="shared" si="0"/>
        <v>1.8856180831641267</v>
      </c>
      <c r="F3">
        <f t="shared" si="1"/>
        <v>1.1180339887498949</v>
      </c>
      <c r="G3">
        <f t="shared" si="2"/>
        <v>1</v>
      </c>
    </row>
    <row r="4" spans="1:36">
      <c r="A4">
        <v>3</v>
      </c>
      <c r="B4">
        <v>4</v>
      </c>
      <c r="E4">
        <f t="shared" si="0"/>
        <v>2.4267032964268394</v>
      </c>
      <c r="F4">
        <f t="shared" si="1"/>
        <v>1.1180339887498949</v>
      </c>
      <c r="G4">
        <f t="shared" si="2"/>
        <v>1</v>
      </c>
    </row>
    <row r="5" spans="1:36">
      <c r="A5">
        <v>4</v>
      </c>
      <c r="B5">
        <v>2</v>
      </c>
      <c r="E5">
        <f t="shared" si="0"/>
        <v>1.6996731711975948</v>
      </c>
      <c r="F5">
        <f t="shared" si="1"/>
        <v>2.5</v>
      </c>
      <c r="G5">
        <f t="shared" si="2"/>
        <v>0</v>
      </c>
      <c r="AJ5" s="1"/>
    </row>
    <row r="6" spans="1:36">
      <c r="A6">
        <v>3</v>
      </c>
      <c r="B6">
        <v>3</v>
      </c>
      <c r="E6">
        <f t="shared" si="0"/>
        <v>1.4907119849998596</v>
      </c>
      <c r="F6">
        <f t="shared" si="1"/>
        <v>1.1180339887498949</v>
      </c>
      <c r="G6">
        <f t="shared" si="2"/>
        <v>1</v>
      </c>
      <c r="AJ6" s="1"/>
    </row>
    <row r="7" spans="1:36">
      <c r="AJ7" s="1"/>
    </row>
    <row r="8" spans="1:36">
      <c r="AJ8" s="1"/>
    </row>
    <row r="9" spans="1:36">
      <c r="AJ9" s="1"/>
    </row>
    <row r="10" spans="1:36">
      <c r="AJ10" s="1"/>
    </row>
    <row r="11" spans="1:36">
      <c r="AJ11" s="1"/>
    </row>
    <row r="12" spans="1:36">
      <c r="AJ12" s="1"/>
    </row>
    <row r="13" spans="1:36">
      <c r="AJ13" s="1"/>
    </row>
    <row r="14" spans="1:36">
      <c r="AJ14" s="1"/>
    </row>
    <row r="15" spans="1:36">
      <c r="AJ15" s="1"/>
    </row>
    <row r="16" spans="1:36">
      <c r="AJ16" s="1"/>
    </row>
    <row r="17" spans="18:36">
      <c r="AJ17" s="1"/>
    </row>
    <row r="18" spans="18:36">
      <c r="AJ18" s="1"/>
    </row>
    <row r="19" spans="18:36">
      <c r="AJ19" s="1"/>
    </row>
    <row r="24" spans="18:36"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A413-C898-4CA6-85D2-3949C9A7911E}">
  <dimension ref="A1:AO24"/>
  <sheetViews>
    <sheetView zoomScale="85" zoomScaleNormal="85" workbookViewId="0">
      <selection activeCell="AS41" sqref="AS41"/>
    </sheetView>
  </sheetViews>
  <sheetFormatPr defaultRowHeight="18"/>
  <cols>
    <col min="15" max="50" width="3" customWidth="1"/>
  </cols>
  <sheetData>
    <row r="1" spans="1:41">
      <c r="A1">
        <v>1</v>
      </c>
      <c r="B1">
        <v>1</v>
      </c>
      <c r="C1" t="s">
        <v>1</v>
      </c>
      <c r="D1">
        <f>IF($C1="A",A1,"")</f>
        <v>1</v>
      </c>
      <c r="E1">
        <f>IF($C1="A",B1,"")</f>
        <v>1</v>
      </c>
      <c r="F1" t="str">
        <f>IF($C1="B",A1,"")</f>
        <v/>
      </c>
      <c r="G1" t="str">
        <f>IF($C1="B",B1,"")</f>
        <v/>
      </c>
      <c r="H1">
        <f>D6</f>
        <v>1</v>
      </c>
      <c r="I1">
        <f>E6</f>
        <v>2</v>
      </c>
      <c r="J1">
        <f>SQRT((A1-H$1)^2+(B1-I$1)^2)</f>
        <v>1</v>
      </c>
      <c r="K1">
        <f>SQRT((A1-H$2)^2+(B1-I$2)^2)</f>
        <v>2.6034165586355513</v>
      </c>
      <c r="L1" t="str">
        <f>IF(J1&lt;K1,"A","B")</f>
        <v>A</v>
      </c>
    </row>
    <row r="2" spans="1:41">
      <c r="A2">
        <v>2</v>
      </c>
      <c r="B2">
        <v>2</v>
      </c>
      <c r="C2" t="s">
        <v>3</v>
      </c>
      <c r="D2" t="str">
        <f t="shared" ref="D2:E5" si="0">IF($C2="A",A2,"")</f>
        <v/>
      </c>
      <c r="E2" t="str">
        <f t="shared" si="0"/>
        <v/>
      </c>
      <c r="F2">
        <f t="shared" ref="F2:G5" si="1">IF($C2="B",A2,"")</f>
        <v>2</v>
      </c>
      <c r="G2">
        <f t="shared" si="1"/>
        <v>2</v>
      </c>
      <c r="H2">
        <f>F6</f>
        <v>3</v>
      </c>
      <c r="I2">
        <f>G6</f>
        <v>2.6666666666666665</v>
      </c>
      <c r="J2">
        <f t="shared" ref="J2:J5" si="2">SQRT((A2-H$1)^2+(B2-I$1)^2)</f>
        <v>1</v>
      </c>
      <c r="K2">
        <f t="shared" ref="K2:K5" si="3">SQRT((A2-H$2)^2+(B2-I$2)^2)</f>
        <v>1.2018504251546629</v>
      </c>
      <c r="L2" t="str">
        <f t="shared" ref="L2:L5" si="4">IF(J2&lt;K2,"A","B")</f>
        <v>A</v>
      </c>
    </row>
    <row r="3" spans="1:41">
      <c r="A3">
        <v>1</v>
      </c>
      <c r="B3">
        <v>3</v>
      </c>
      <c r="C3" t="s">
        <v>1</v>
      </c>
      <c r="D3">
        <f t="shared" si="0"/>
        <v>1</v>
      </c>
      <c r="E3">
        <f t="shared" si="0"/>
        <v>3</v>
      </c>
      <c r="F3" t="str">
        <f t="shared" si="1"/>
        <v/>
      </c>
      <c r="G3" t="str">
        <f t="shared" si="1"/>
        <v/>
      </c>
      <c r="J3">
        <f t="shared" si="2"/>
        <v>1</v>
      </c>
      <c r="K3">
        <f t="shared" si="3"/>
        <v>2.0275875100994067</v>
      </c>
      <c r="L3" t="str">
        <f t="shared" si="4"/>
        <v>A</v>
      </c>
    </row>
    <row r="4" spans="1:41">
      <c r="A4">
        <v>3</v>
      </c>
      <c r="B4">
        <v>4</v>
      </c>
      <c r="C4" t="s">
        <v>3</v>
      </c>
      <c r="D4" t="str">
        <f t="shared" si="0"/>
        <v/>
      </c>
      <c r="E4" t="str">
        <f t="shared" si="0"/>
        <v/>
      </c>
      <c r="F4">
        <f t="shared" si="1"/>
        <v>3</v>
      </c>
      <c r="G4">
        <f t="shared" si="1"/>
        <v>4</v>
      </c>
      <c r="J4">
        <f t="shared" si="2"/>
        <v>2.8284271247461903</v>
      </c>
      <c r="K4">
        <f t="shared" si="3"/>
        <v>1.3333333333333335</v>
      </c>
      <c r="L4" t="str">
        <f t="shared" si="4"/>
        <v>B</v>
      </c>
    </row>
    <row r="5" spans="1:41">
      <c r="A5">
        <v>4</v>
      </c>
      <c r="B5">
        <v>2</v>
      </c>
      <c r="C5" t="s">
        <v>3</v>
      </c>
      <c r="D5" t="str">
        <f t="shared" si="0"/>
        <v/>
      </c>
      <c r="E5" t="str">
        <f t="shared" si="0"/>
        <v/>
      </c>
      <c r="F5">
        <f t="shared" si="1"/>
        <v>4</v>
      </c>
      <c r="G5">
        <f t="shared" si="1"/>
        <v>2</v>
      </c>
      <c r="J5">
        <f t="shared" si="2"/>
        <v>3</v>
      </c>
      <c r="K5">
        <f t="shared" si="3"/>
        <v>1.2018504251546629</v>
      </c>
      <c r="L5" t="str">
        <f t="shared" si="4"/>
        <v>B</v>
      </c>
      <c r="AO5" s="1"/>
    </row>
    <row r="6" spans="1:41">
      <c r="D6">
        <f>AVERAGE(D1:D5)</f>
        <v>1</v>
      </c>
      <c r="E6">
        <f>AVERAGE(E1:E5)</f>
        <v>2</v>
      </c>
      <c r="F6">
        <f>AVERAGE(F1:F5)</f>
        <v>3</v>
      </c>
      <c r="G6">
        <f>AVERAGE(G1:G5)</f>
        <v>2.6666666666666665</v>
      </c>
      <c r="AO6" s="1"/>
    </row>
    <row r="7" spans="1:41">
      <c r="AO7" s="1"/>
    </row>
    <row r="8" spans="1:41">
      <c r="AO8" s="1"/>
    </row>
    <row r="9" spans="1:41">
      <c r="A9">
        <f>A1</f>
        <v>1</v>
      </c>
      <c r="B9">
        <f>B1</f>
        <v>1</v>
      </c>
      <c r="C9" t="str">
        <f>L1</f>
        <v>A</v>
      </c>
      <c r="D9">
        <f>IF($C9="A",A9,"")</f>
        <v>1</v>
      </c>
      <c r="E9">
        <f>IF($C9="A",B9,"")</f>
        <v>1</v>
      </c>
      <c r="F9" t="str">
        <f>IF($C9="B",A9,"")</f>
        <v/>
      </c>
      <c r="G9" t="str">
        <f>IF($C9="B",B9,"")</f>
        <v/>
      </c>
      <c r="H9">
        <f>D14</f>
        <v>1.3333333333333333</v>
      </c>
      <c r="I9">
        <f>E14</f>
        <v>2</v>
      </c>
      <c r="J9">
        <f>SQRT((A9-H$1)^2+(B9-I$1)^2)</f>
        <v>1</v>
      </c>
      <c r="K9">
        <f>SQRT((A9-H$2)^2+(B9-I$2)^2)</f>
        <v>2.6034165586355513</v>
      </c>
      <c r="L9" t="str">
        <f>IF(J9&lt;K9,"A","B")</f>
        <v>A</v>
      </c>
      <c r="AO9" s="1"/>
    </row>
    <row r="10" spans="1:41">
      <c r="A10">
        <f t="shared" ref="A10:B10" si="5">A2</f>
        <v>2</v>
      </c>
      <c r="B10">
        <f t="shared" si="5"/>
        <v>2</v>
      </c>
      <c r="C10" t="str">
        <f t="shared" ref="C10:C13" si="6">L2</f>
        <v>A</v>
      </c>
      <c r="D10">
        <f t="shared" ref="D10:D13" si="7">IF($C10="A",A10,"")</f>
        <v>2</v>
      </c>
      <c r="E10">
        <f t="shared" ref="E10:E13" si="8">IF($C10="A",B10,"")</f>
        <v>2</v>
      </c>
      <c r="F10" t="str">
        <f t="shared" ref="F10:F13" si="9">IF($C10="B",A10,"")</f>
        <v/>
      </c>
      <c r="G10" t="str">
        <f t="shared" ref="G10:G13" si="10">IF($C10="B",B10,"")</f>
        <v/>
      </c>
      <c r="H10">
        <f>F14</f>
        <v>3.5</v>
      </c>
      <c r="I10">
        <f>G14</f>
        <v>3</v>
      </c>
      <c r="J10">
        <f t="shared" ref="J10:J13" si="11">SQRT((A10-H$1)^2+(B10-I$1)^2)</f>
        <v>1</v>
      </c>
      <c r="K10">
        <f t="shared" ref="K10:K13" si="12">SQRT((A10-H$2)^2+(B10-I$2)^2)</f>
        <v>1.2018504251546629</v>
      </c>
      <c r="L10" t="str">
        <f t="shared" ref="L10:L13" si="13">IF(J10&lt;K10,"A","B")</f>
        <v>A</v>
      </c>
      <c r="AO10" s="1"/>
    </row>
    <row r="11" spans="1:41">
      <c r="A11">
        <f t="shared" ref="A11:B11" si="14">A3</f>
        <v>1</v>
      </c>
      <c r="B11">
        <f t="shared" si="14"/>
        <v>3</v>
      </c>
      <c r="C11" t="str">
        <f t="shared" si="6"/>
        <v>A</v>
      </c>
      <c r="D11">
        <f t="shared" si="7"/>
        <v>1</v>
      </c>
      <c r="E11">
        <f t="shared" si="8"/>
        <v>3</v>
      </c>
      <c r="F11" t="str">
        <f t="shared" si="9"/>
        <v/>
      </c>
      <c r="G11" t="str">
        <f t="shared" si="10"/>
        <v/>
      </c>
      <c r="J11">
        <f t="shared" si="11"/>
        <v>1</v>
      </c>
      <c r="K11">
        <f t="shared" si="12"/>
        <v>2.0275875100994067</v>
      </c>
      <c r="L11" t="str">
        <f t="shared" si="13"/>
        <v>A</v>
      </c>
      <c r="AO11" s="1"/>
    </row>
    <row r="12" spans="1:41">
      <c r="A12">
        <f t="shared" ref="A12:B12" si="15">A4</f>
        <v>3</v>
      </c>
      <c r="B12">
        <f t="shared" si="15"/>
        <v>4</v>
      </c>
      <c r="C12" t="str">
        <f t="shared" si="6"/>
        <v>B</v>
      </c>
      <c r="D12" t="str">
        <f t="shared" si="7"/>
        <v/>
      </c>
      <c r="E12" t="str">
        <f t="shared" si="8"/>
        <v/>
      </c>
      <c r="F12">
        <f t="shared" si="9"/>
        <v>3</v>
      </c>
      <c r="G12">
        <f t="shared" si="10"/>
        <v>4</v>
      </c>
      <c r="J12">
        <f t="shared" si="11"/>
        <v>2.8284271247461903</v>
      </c>
      <c r="K12">
        <f t="shared" si="12"/>
        <v>1.3333333333333335</v>
      </c>
      <c r="L12" t="str">
        <f t="shared" si="13"/>
        <v>B</v>
      </c>
      <c r="AO12" s="1"/>
    </row>
    <row r="13" spans="1:41">
      <c r="A13">
        <f t="shared" ref="A13:B13" si="16">A5</f>
        <v>4</v>
      </c>
      <c r="B13">
        <f t="shared" si="16"/>
        <v>2</v>
      </c>
      <c r="C13" t="str">
        <f t="shared" si="6"/>
        <v>B</v>
      </c>
      <c r="D13" t="str">
        <f t="shared" si="7"/>
        <v/>
      </c>
      <c r="E13" t="str">
        <f t="shared" si="8"/>
        <v/>
      </c>
      <c r="F13">
        <f t="shared" si="9"/>
        <v>4</v>
      </c>
      <c r="G13">
        <f t="shared" si="10"/>
        <v>2</v>
      </c>
      <c r="J13">
        <f t="shared" si="11"/>
        <v>3</v>
      </c>
      <c r="K13">
        <f t="shared" si="12"/>
        <v>1.2018504251546629</v>
      </c>
      <c r="L13" t="str">
        <f t="shared" si="13"/>
        <v>B</v>
      </c>
      <c r="AO13" s="1"/>
    </row>
    <row r="14" spans="1:41">
      <c r="D14">
        <f>AVERAGE(D9:D13)</f>
        <v>1.3333333333333333</v>
      </c>
      <c r="E14">
        <f>AVERAGE(E9:E13)</f>
        <v>2</v>
      </c>
      <c r="F14">
        <f>AVERAGE(F9:F13)</f>
        <v>3.5</v>
      </c>
      <c r="G14">
        <f>AVERAGE(G9:G13)</f>
        <v>3</v>
      </c>
      <c r="AO14" s="1"/>
    </row>
    <row r="15" spans="1:41">
      <c r="AO15" s="1"/>
    </row>
    <row r="16" spans="1:41">
      <c r="AO16" s="1"/>
    </row>
    <row r="17" spans="23:41">
      <c r="AO17" s="1"/>
    </row>
    <row r="18" spans="23:41">
      <c r="AO18" s="1"/>
    </row>
    <row r="19" spans="23:41">
      <c r="AO19" s="1"/>
    </row>
    <row r="24" spans="23:41"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2CE10-0549-4E8D-BCD3-EF62AC8F0244}">
  <dimension ref="A1:AO28"/>
  <sheetViews>
    <sheetView zoomScale="85" zoomScaleNormal="85" workbookViewId="0">
      <selection activeCell="C7" sqref="C7"/>
    </sheetView>
  </sheetViews>
  <sheetFormatPr defaultRowHeight="18"/>
  <cols>
    <col min="15" max="50" width="3" customWidth="1"/>
  </cols>
  <sheetData>
    <row r="1" spans="1:41">
      <c r="A1">
        <v>1</v>
      </c>
      <c r="B1">
        <v>1</v>
      </c>
      <c r="C1" t="s">
        <v>1</v>
      </c>
      <c r="D1">
        <f>IF($C1="A",A1,"")</f>
        <v>1</v>
      </c>
      <c r="E1">
        <f>IF($C1="A",B1,"")</f>
        <v>1</v>
      </c>
      <c r="F1" t="str">
        <f>IF($C1="B",A1,"")</f>
        <v/>
      </c>
      <c r="G1" t="str">
        <f>IF($C1="B",B1,"")</f>
        <v/>
      </c>
      <c r="H1">
        <f>D8</f>
        <v>2.6666666666666665</v>
      </c>
      <c r="I1">
        <f>E8</f>
        <v>2</v>
      </c>
      <c r="J1">
        <f>SQRT((A1-H$1)^2+(B1-I$1)^2)</f>
        <v>1.9436506316151001</v>
      </c>
      <c r="K1">
        <f>SQRT((A1-H$2)^2+(B1-I$2)^2)</f>
        <v>1.8856180831641269</v>
      </c>
      <c r="L1" t="str">
        <f>IF(J1&lt;K1,"A","B")</f>
        <v>B</v>
      </c>
      <c r="M1">
        <f>IF(C1=L1,0,1)</f>
        <v>1</v>
      </c>
    </row>
    <row r="2" spans="1:41">
      <c r="A2">
        <v>2</v>
      </c>
      <c r="B2">
        <v>2</v>
      </c>
      <c r="C2" t="s">
        <v>3</v>
      </c>
      <c r="D2" t="str">
        <f t="shared" ref="D2:D7" si="0">IF($C2="A",A2,"")</f>
        <v/>
      </c>
      <c r="E2" t="str">
        <f t="shared" ref="E2:E7" si="1">IF($C2="A",B2,"")</f>
        <v/>
      </c>
      <c r="F2">
        <f t="shared" ref="F2:F7" si="2">IF($C2="B",A2,"")</f>
        <v>2</v>
      </c>
      <c r="G2">
        <f t="shared" ref="G2:G7" si="3">IF($C2="B",B2,"")</f>
        <v>2</v>
      </c>
      <c r="H2">
        <f>F8</f>
        <v>2.3333333333333335</v>
      </c>
      <c r="I2">
        <f>G8</f>
        <v>2.3333333333333335</v>
      </c>
      <c r="J2">
        <f t="shared" ref="J2:J4" si="4">SQRT((A2-H$1)^2+(B2-I$1)^2)</f>
        <v>0.66666666666666652</v>
      </c>
      <c r="K2">
        <f t="shared" ref="K2:K4" si="5">SQRT((A2-H$2)^2+(B2-I$2)^2)</f>
        <v>0.4714045207910319</v>
      </c>
      <c r="L2" t="str">
        <f t="shared" ref="L2:L7" si="6">IF(J2&lt;K2,"A","B")</f>
        <v>B</v>
      </c>
      <c r="M2">
        <f t="shared" ref="M2:M7" si="7">IF(C2=L2,0,1)</f>
        <v>0</v>
      </c>
    </row>
    <row r="3" spans="1:41">
      <c r="A3">
        <v>1</v>
      </c>
      <c r="B3">
        <v>3</v>
      </c>
      <c r="C3" t="s">
        <v>3</v>
      </c>
      <c r="D3" t="str">
        <f t="shared" si="0"/>
        <v/>
      </c>
      <c r="E3" t="str">
        <f t="shared" si="1"/>
        <v/>
      </c>
      <c r="F3">
        <f t="shared" si="2"/>
        <v>1</v>
      </c>
      <c r="G3">
        <f t="shared" si="3"/>
        <v>3</v>
      </c>
      <c r="J3">
        <f t="shared" si="4"/>
        <v>1.9436506316151001</v>
      </c>
      <c r="K3">
        <f t="shared" si="5"/>
        <v>1.4907119849998598</v>
      </c>
      <c r="L3" t="str">
        <f t="shared" si="6"/>
        <v>B</v>
      </c>
      <c r="M3">
        <f t="shared" si="7"/>
        <v>0</v>
      </c>
    </row>
    <row r="4" spans="1:41">
      <c r="A4">
        <v>1</v>
      </c>
      <c r="B4">
        <v>4</v>
      </c>
      <c r="C4" t="s">
        <v>1</v>
      </c>
      <c r="F4" t="str">
        <f t="shared" si="2"/>
        <v/>
      </c>
      <c r="G4" t="str">
        <f t="shared" si="3"/>
        <v/>
      </c>
      <c r="J4">
        <f t="shared" si="4"/>
        <v>2.6034165586355513</v>
      </c>
      <c r="K4">
        <f t="shared" si="5"/>
        <v>2.1343747458109497</v>
      </c>
      <c r="L4" t="str">
        <f t="shared" si="6"/>
        <v>B</v>
      </c>
      <c r="M4">
        <f t="shared" si="7"/>
        <v>1</v>
      </c>
    </row>
    <row r="5" spans="1:41">
      <c r="A5">
        <v>4</v>
      </c>
      <c r="B5">
        <v>1</v>
      </c>
      <c r="C5" t="s">
        <v>1</v>
      </c>
      <c r="D5">
        <f t="shared" si="0"/>
        <v>4</v>
      </c>
      <c r="E5">
        <f t="shared" si="1"/>
        <v>1</v>
      </c>
      <c r="F5" t="str">
        <f t="shared" si="2"/>
        <v/>
      </c>
      <c r="G5" t="str">
        <f t="shared" si="3"/>
        <v/>
      </c>
      <c r="J5">
        <f t="shared" ref="J5:J7" si="8">SQRT((A5-H$1)^2+(B5-I$1)^2)</f>
        <v>1.6666666666666667</v>
      </c>
      <c r="K5">
        <f t="shared" ref="K5:K7" si="9">SQRT((A5-H$2)^2+(B5-I$2)^2)</f>
        <v>2.1343747458109497</v>
      </c>
      <c r="L5" t="str">
        <f t="shared" si="6"/>
        <v>A</v>
      </c>
      <c r="M5">
        <f t="shared" si="7"/>
        <v>0</v>
      </c>
    </row>
    <row r="6" spans="1:41">
      <c r="A6">
        <v>3</v>
      </c>
      <c r="B6">
        <v>4</v>
      </c>
      <c r="C6" t="s">
        <v>1</v>
      </c>
      <c r="D6">
        <f t="shared" si="0"/>
        <v>3</v>
      </c>
      <c r="E6">
        <f t="shared" si="1"/>
        <v>4</v>
      </c>
      <c r="F6" t="str">
        <f t="shared" si="2"/>
        <v/>
      </c>
      <c r="G6" t="str">
        <f t="shared" si="3"/>
        <v/>
      </c>
      <c r="J6">
        <f t="shared" si="8"/>
        <v>2.0275875100994067</v>
      </c>
      <c r="K6">
        <f t="shared" si="9"/>
        <v>1.7950549357115011</v>
      </c>
      <c r="L6" t="str">
        <f t="shared" si="6"/>
        <v>B</v>
      </c>
      <c r="M6">
        <f t="shared" si="7"/>
        <v>1</v>
      </c>
    </row>
    <row r="7" spans="1:41">
      <c r="A7">
        <v>4</v>
      </c>
      <c r="B7">
        <v>2</v>
      </c>
      <c r="C7" t="s">
        <v>3</v>
      </c>
      <c r="D7" t="str">
        <f t="shared" si="0"/>
        <v/>
      </c>
      <c r="E7" t="str">
        <f t="shared" si="1"/>
        <v/>
      </c>
      <c r="F7">
        <f t="shared" si="2"/>
        <v>4</v>
      </c>
      <c r="G7">
        <f t="shared" si="3"/>
        <v>2</v>
      </c>
      <c r="J7">
        <f t="shared" si="8"/>
        <v>1.3333333333333335</v>
      </c>
      <c r="K7">
        <f t="shared" si="9"/>
        <v>1.6996731711975948</v>
      </c>
      <c r="L7" t="str">
        <f t="shared" si="6"/>
        <v>A</v>
      </c>
      <c r="M7">
        <f t="shared" si="7"/>
        <v>1</v>
      </c>
      <c r="AO7" s="1"/>
    </row>
    <row r="8" spans="1:41">
      <c r="D8">
        <f>AVERAGE(D1:D7)</f>
        <v>2.6666666666666665</v>
      </c>
      <c r="E8">
        <f>AVERAGE(E1:E7)</f>
        <v>2</v>
      </c>
      <c r="F8">
        <f>AVERAGE(F1:F7)</f>
        <v>2.3333333333333335</v>
      </c>
      <c r="G8">
        <f>AVERAGE(G1:G7)</f>
        <v>2.3333333333333335</v>
      </c>
      <c r="M8">
        <f>SUM(M1:M7)</f>
        <v>4</v>
      </c>
      <c r="AO8" s="1"/>
    </row>
    <row r="9" spans="1:41">
      <c r="AO9" s="1"/>
    </row>
    <row r="10" spans="1:41">
      <c r="AO10" s="1"/>
    </row>
    <row r="11" spans="1:41">
      <c r="A11">
        <f>A1</f>
        <v>1</v>
      </c>
      <c r="B11">
        <f>B1</f>
        <v>1</v>
      </c>
      <c r="C11" t="str">
        <f>L1</f>
        <v>B</v>
      </c>
      <c r="D11" t="str">
        <f>IF($C11="A",A11,"")</f>
        <v/>
      </c>
      <c r="E11" t="str">
        <f>IF($C11="A",B11,"")</f>
        <v/>
      </c>
      <c r="F11">
        <f>IF($C11="B",A11,"")</f>
        <v>1</v>
      </c>
      <c r="G11">
        <f>IF($C11="B",B11,"")</f>
        <v>1</v>
      </c>
      <c r="H11">
        <f>D18</f>
        <v>4</v>
      </c>
      <c r="I11">
        <f>E18</f>
        <v>1.5</v>
      </c>
      <c r="J11">
        <f>SQRT((A11-H$1)^2+(B11-I$1)^2)</f>
        <v>1.9436506316151001</v>
      </c>
      <c r="K11">
        <f>SQRT((A11-H$2)^2+(B11-I$2)^2)</f>
        <v>1.8856180831641269</v>
      </c>
      <c r="L11" t="str">
        <f>IF(J11&lt;K11,"A","B")</f>
        <v>B</v>
      </c>
      <c r="M11">
        <f>IF(C11=L11,0,1)</f>
        <v>0</v>
      </c>
      <c r="AO11" s="1"/>
    </row>
    <row r="12" spans="1:41">
      <c r="A12">
        <f t="shared" ref="A12:B12" si="10">A2</f>
        <v>2</v>
      </c>
      <c r="B12">
        <f t="shared" si="10"/>
        <v>2</v>
      </c>
      <c r="C12" t="str">
        <f t="shared" ref="C12:C17" si="11">L2</f>
        <v>B</v>
      </c>
      <c r="D12" t="str">
        <f t="shared" ref="D12:D17" si="12">IF($C12="A",A12,"")</f>
        <v/>
      </c>
      <c r="E12" t="str">
        <f t="shared" ref="E12:E17" si="13">IF($C12="A",B12,"")</f>
        <v/>
      </c>
      <c r="F12">
        <f t="shared" ref="F12:F17" si="14">IF($C12="B",A12,"")</f>
        <v>2</v>
      </c>
      <c r="G12">
        <f t="shared" ref="G12:G17" si="15">IF($C12="B",B12,"")</f>
        <v>2</v>
      </c>
      <c r="H12">
        <f>F18</f>
        <v>1.6</v>
      </c>
      <c r="I12">
        <f>G18</f>
        <v>2.8</v>
      </c>
      <c r="J12">
        <f t="shared" ref="J12:J17" si="16">SQRT((A12-H$1)^2+(B12-I$1)^2)</f>
        <v>0.66666666666666652</v>
      </c>
      <c r="K12">
        <f t="shared" ref="K12:K17" si="17">SQRT((A12-H$2)^2+(B12-I$2)^2)</f>
        <v>0.4714045207910319</v>
      </c>
      <c r="L12" t="str">
        <f t="shared" ref="L12:L17" si="18">IF(J12&lt;K12,"A","B")</f>
        <v>B</v>
      </c>
      <c r="M12">
        <f t="shared" ref="M12:M17" si="19">IF(C12=L12,0,1)</f>
        <v>0</v>
      </c>
      <c r="AO12" s="1"/>
    </row>
    <row r="13" spans="1:41">
      <c r="A13">
        <f t="shared" ref="A13:B13" si="20">A3</f>
        <v>1</v>
      </c>
      <c r="B13">
        <f t="shared" si="20"/>
        <v>3</v>
      </c>
      <c r="C13" t="str">
        <f t="shared" si="11"/>
        <v>B</v>
      </c>
      <c r="D13" t="str">
        <f t="shared" si="12"/>
        <v/>
      </c>
      <c r="E13" t="str">
        <f t="shared" si="13"/>
        <v/>
      </c>
      <c r="F13">
        <f t="shared" si="14"/>
        <v>1</v>
      </c>
      <c r="G13">
        <f t="shared" si="15"/>
        <v>3</v>
      </c>
      <c r="J13">
        <f t="shared" si="16"/>
        <v>1.9436506316151001</v>
      </c>
      <c r="K13">
        <f t="shared" si="17"/>
        <v>1.4907119849998598</v>
      </c>
      <c r="L13" t="str">
        <f t="shared" si="18"/>
        <v>B</v>
      </c>
      <c r="M13">
        <f t="shared" si="19"/>
        <v>0</v>
      </c>
      <c r="AO13" s="1"/>
    </row>
    <row r="14" spans="1:41">
      <c r="A14">
        <f t="shared" ref="A14:B14" si="21">A4</f>
        <v>1</v>
      </c>
      <c r="B14">
        <f t="shared" si="21"/>
        <v>4</v>
      </c>
      <c r="C14" t="str">
        <f t="shared" si="11"/>
        <v>B</v>
      </c>
      <c r="D14" t="str">
        <f t="shared" si="12"/>
        <v/>
      </c>
      <c r="E14" t="str">
        <f t="shared" si="13"/>
        <v/>
      </c>
      <c r="F14">
        <f t="shared" si="14"/>
        <v>1</v>
      </c>
      <c r="G14">
        <f t="shared" si="15"/>
        <v>4</v>
      </c>
      <c r="J14">
        <f t="shared" si="16"/>
        <v>2.6034165586355513</v>
      </c>
      <c r="K14">
        <f t="shared" si="17"/>
        <v>2.1343747458109497</v>
      </c>
      <c r="L14" t="str">
        <f t="shared" si="18"/>
        <v>B</v>
      </c>
      <c r="M14">
        <f t="shared" si="19"/>
        <v>0</v>
      </c>
      <c r="AO14" s="1"/>
    </row>
    <row r="15" spans="1:41">
      <c r="A15">
        <f t="shared" ref="A15:B15" si="22">A5</f>
        <v>4</v>
      </c>
      <c r="B15">
        <f t="shared" si="22"/>
        <v>1</v>
      </c>
      <c r="C15" t="str">
        <f t="shared" si="11"/>
        <v>A</v>
      </c>
      <c r="D15">
        <f t="shared" si="12"/>
        <v>4</v>
      </c>
      <c r="E15">
        <f t="shared" si="13"/>
        <v>1</v>
      </c>
      <c r="F15" t="str">
        <f t="shared" si="14"/>
        <v/>
      </c>
      <c r="G15" t="str">
        <f t="shared" si="15"/>
        <v/>
      </c>
      <c r="J15">
        <f t="shared" si="16"/>
        <v>1.6666666666666667</v>
      </c>
      <c r="K15">
        <f t="shared" si="17"/>
        <v>2.1343747458109497</v>
      </c>
      <c r="L15" t="str">
        <f t="shared" si="18"/>
        <v>A</v>
      </c>
      <c r="M15">
        <f t="shared" si="19"/>
        <v>0</v>
      </c>
      <c r="AO15" s="1"/>
    </row>
    <row r="16" spans="1:41">
      <c r="A16">
        <f t="shared" ref="A16:B16" si="23">A6</f>
        <v>3</v>
      </c>
      <c r="B16">
        <f t="shared" si="23"/>
        <v>4</v>
      </c>
      <c r="C16" t="str">
        <f t="shared" si="11"/>
        <v>B</v>
      </c>
      <c r="D16" t="str">
        <f t="shared" si="12"/>
        <v/>
      </c>
      <c r="E16" t="str">
        <f t="shared" si="13"/>
        <v/>
      </c>
      <c r="F16">
        <f t="shared" si="14"/>
        <v>3</v>
      </c>
      <c r="G16">
        <f t="shared" si="15"/>
        <v>4</v>
      </c>
      <c r="J16">
        <f t="shared" si="16"/>
        <v>2.0275875100994067</v>
      </c>
      <c r="K16">
        <f t="shared" si="17"/>
        <v>1.7950549357115011</v>
      </c>
      <c r="L16" t="str">
        <f t="shared" si="18"/>
        <v>B</v>
      </c>
      <c r="M16">
        <f t="shared" si="19"/>
        <v>0</v>
      </c>
      <c r="AO16" s="1"/>
    </row>
    <row r="17" spans="1:41">
      <c r="A17">
        <f t="shared" ref="A17:B17" si="24">A7</f>
        <v>4</v>
      </c>
      <c r="B17">
        <f t="shared" si="24"/>
        <v>2</v>
      </c>
      <c r="C17" t="str">
        <f t="shared" si="11"/>
        <v>A</v>
      </c>
      <c r="D17">
        <f t="shared" si="12"/>
        <v>4</v>
      </c>
      <c r="E17">
        <f t="shared" si="13"/>
        <v>2</v>
      </c>
      <c r="F17" t="str">
        <f t="shared" si="14"/>
        <v/>
      </c>
      <c r="G17" t="str">
        <f t="shared" si="15"/>
        <v/>
      </c>
      <c r="J17">
        <f t="shared" si="16"/>
        <v>1.3333333333333335</v>
      </c>
      <c r="K17">
        <f t="shared" si="17"/>
        <v>1.6996731711975948</v>
      </c>
      <c r="L17" t="str">
        <f t="shared" si="18"/>
        <v>A</v>
      </c>
      <c r="M17">
        <f t="shared" si="19"/>
        <v>0</v>
      </c>
      <c r="AO17" s="1"/>
    </row>
    <row r="18" spans="1:41">
      <c r="D18">
        <f>AVERAGE(D11:D17)</f>
        <v>4</v>
      </c>
      <c r="E18">
        <f>AVERAGE(E11:E17)</f>
        <v>1.5</v>
      </c>
      <c r="F18">
        <f>AVERAGE(F11:F17)</f>
        <v>1.6</v>
      </c>
      <c r="G18">
        <f>AVERAGE(G11:G17)</f>
        <v>2.8</v>
      </c>
      <c r="M18">
        <f>SUM(M11:M17)</f>
        <v>0</v>
      </c>
      <c r="AO18" s="1"/>
    </row>
    <row r="19" spans="1:41">
      <c r="AO19" s="1"/>
    </row>
    <row r="20" spans="1:41">
      <c r="AO20" s="1"/>
    </row>
    <row r="21" spans="1:41">
      <c r="AO21" s="1"/>
    </row>
    <row r="22" spans="1:41">
      <c r="AO22" s="1"/>
    </row>
    <row r="23" spans="1:41">
      <c r="AO23" s="1"/>
    </row>
    <row r="28" spans="1:41"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C4229-F97E-4A87-B321-6D1D75DDD2D4}">
  <dimension ref="A1:AS28"/>
  <sheetViews>
    <sheetView zoomScale="85" zoomScaleNormal="85" workbookViewId="0">
      <selection activeCell="L26" sqref="L26"/>
    </sheetView>
  </sheetViews>
  <sheetFormatPr defaultRowHeight="18"/>
  <cols>
    <col min="19" max="54" width="3" customWidth="1"/>
  </cols>
  <sheetData>
    <row r="1" spans="1:45">
      <c r="A1">
        <v>1</v>
      </c>
      <c r="B1">
        <v>1</v>
      </c>
      <c r="C1" t="s">
        <v>1</v>
      </c>
      <c r="D1">
        <f>IF($C1="A",A1,"")</f>
        <v>1</v>
      </c>
      <c r="E1">
        <f>IF($C1="A",B1,"")</f>
        <v>1</v>
      </c>
      <c r="F1" t="str">
        <f>IF($C1="B",A1,"")</f>
        <v/>
      </c>
      <c r="G1" t="str">
        <f>IF($C1="B",B1,"")</f>
        <v/>
      </c>
      <c r="H1" t="str">
        <f>IF($C1="C",A1,"")</f>
        <v/>
      </c>
      <c r="I1" t="str">
        <f>IF($C1="C",B1,"")</f>
        <v/>
      </c>
      <c r="J1">
        <f>D8</f>
        <v>2</v>
      </c>
      <c r="K1">
        <f>E8</f>
        <v>2.5</v>
      </c>
      <c r="L1">
        <f t="shared" ref="L1:L7" si="0">SQRT((A1-D$8)^2+(B1-E$8)^2)</f>
        <v>1.8027756377319946</v>
      </c>
      <c r="M1">
        <f t="shared" ref="M1:M7" si="1">SQRT((A1-F$8)^2+(B1-G$8)^2)</f>
        <v>1.8856180831641269</v>
      </c>
      <c r="N1">
        <f t="shared" ref="N1:N7" si="2">SQRT((A1-H$8)^2+(B1-I$8)^2)</f>
        <v>2.1213203435596424</v>
      </c>
      <c r="O1">
        <f>MIN(L1:N1)</f>
        <v>1.8027756377319946</v>
      </c>
      <c r="P1" t="str">
        <f>IF(O1=L1,"A",IF(O1=M1,"B","C"))</f>
        <v>A</v>
      </c>
      <c r="Q1">
        <f t="shared" ref="Q1:Q7" si="3">IF(C1=P1,0,1)</f>
        <v>0</v>
      </c>
    </row>
    <row r="2" spans="1:45">
      <c r="A2">
        <v>2</v>
      </c>
      <c r="B2">
        <v>2</v>
      </c>
      <c r="C2" t="s">
        <v>3</v>
      </c>
      <c r="D2" t="str">
        <f t="shared" ref="D2:E7" si="4">IF($C2="A",A2,"")</f>
        <v/>
      </c>
      <c r="E2" t="str">
        <f t="shared" si="4"/>
        <v/>
      </c>
      <c r="F2">
        <f t="shared" ref="F2:G7" si="5">IF($C2="B",A2,"")</f>
        <v>2</v>
      </c>
      <c r="G2">
        <f t="shared" si="5"/>
        <v>2</v>
      </c>
      <c r="H2" t="str">
        <f t="shared" ref="H2:H7" si="6">IF($C2="C",A2,"")</f>
        <v/>
      </c>
      <c r="I2" t="str">
        <f t="shared" ref="I2:I7" si="7">IF($C2="C",B2,"")</f>
        <v/>
      </c>
      <c r="J2">
        <f>F8</f>
        <v>2.3333333333333335</v>
      </c>
      <c r="K2">
        <f>G8</f>
        <v>2.3333333333333335</v>
      </c>
      <c r="L2">
        <f t="shared" si="0"/>
        <v>0.5</v>
      </c>
      <c r="M2">
        <f t="shared" si="1"/>
        <v>0.4714045207910319</v>
      </c>
      <c r="N2">
        <f t="shared" si="2"/>
        <v>0.70710678118654757</v>
      </c>
      <c r="O2">
        <f t="shared" ref="O2:O7" si="8">MIN(L2:N2)</f>
        <v>0.4714045207910319</v>
      </c>
      <c r="P2" t="str">
        <f t="shared" ref="P2:P7" si="9">IF(O2=L2,"A",IF(O2=M2,"B","C"))</f>
        <v>B</v>
      </c>
      <c r="Q2">
        <f t="shared" si="3"/>
        <v>0</v>
      </c>
    </row>
    <row r="3" spans="1:45">
      <c r="A3">
        <v>1</v>
      </c>
      <c r="B3">
        <v>3</v>
      </c>
      <c r="C3" t="s">
        <v>3</v>
      </c>
      <c r="D3" t="str">
        <f t="shared" si="4"/>
        <v/>
      </c>
      <c r="E3" t="str">
        <f t="shared" si="4"/>
        <v/>
      </c>
      <c r="F3">
        <f t="shared" si="5"/>
        <v>1</v>
      </c>
      <c r="G3">
        <f t="shared" si="5"/>
        <v>3</v>
      </c>
      <c r="H3" t="str">
        <f t="shared" si="6"/>
        <v/>
      </c>
      <c r="I3" t="str">
        <f t="shared" si="7"/>
        <v/>
      </c>
      <c r="J3">
        <f>H8</f>
        <v>2.5</v>
      </c>
      <c r="K3">
        <f>I8</f>
        <v>2.5</v>
      </c>
      <c r="L3">
        <f t="shared" si="0"/>
        <v>1.1180339887498949</v>
      </c>
      <c r="M3">
        <f t="shared" si="1"/>
        <v>1.4907119849998598</v>
      </c>
      <c r="N3">
        <f t="shared" si="2"/>
        <v>1.5811388300841898</v>
      </c>
      <c r="O3">
        <f t="shared" si="8"/>
        <v>1.1180339887498949</v>
      </c>
      <c r="P3" t="str">
        <f t="shared" si="9"/>
        <v>A</v>
      </c>
      <c r="Q3">
        <f t="shared" si="3"/>
        <v>1</v>
      </c>
    </row>
    <row r="4" spans="1:45">
      <c r="A4">
        <v>1</v>
      </c>
      <c r="B4">
        <v>4</v>
      </c>
      <c r="C4" t="s">
        <v>5</v>
      </c>
      <c r="F4" t="str">
        <f t="shared" si="5"/>
        <v/>
      </c>
      <c r="G4" t="str">
        <f t="shared" si="5"/>
        <v/>
      </c>
      <c r="H4">
        <f t="shared" si="6"/>
        <v>1</v>
      </c>
      <c r="I4">
        <f t="shared" si="7"/>
        <v>4</v>
      </c>
      <c r="L4">
        <f t="shared" si="0"/>
        <v>1.8027756377319946</v>
      </c>
      <c r="M4">
        <f t="shared" si="1"/>
        <v>2.1343747458109497</v>
      </c>
      <c r="N4">
        <f t="shared" si="2"/>
        <v>2.1213203435596424</v>
      </c>
      <c r="O4">
        <f t="shared" si="8"/>
        <v>1.8027756377319946</v>
      </c>
      <c r="P4" t="str">
        <f t="shared" si="9"/>
        <v>A</v>
      </c>
      <c r="Q4">
        <f t="shared" si="3"/>
        <v>1</v>
      </c>
    </row>
    <row r="5" spans="1:45">
      <c r="A5">
        <v>4</v>
      </c>
      <c r="B5">
        <v>1</v>
      </c>
      <c r="C5" t="s">
        <v>5</v>
      </c>
      <c r="D5" t="str">
        <f t="shared" si="4"/>
        <v/>
      </c>
      <c r="E5" t="str">
        <f t="shared" si="4"/>
        <v/>
      </c>
      <c r="F5" t="str">
        <f t="shared" si="5"/>
        <v/>
      </c>
      <c r="G5" t="str">
        <f t="shared" si="5"/>
        <v/>
      </c>
      <c r="H5">
        <f t="shared" si="6"/>
        <v>4</v>
      </c>
      <c r="I5">
        <f t="shared" si="7"/>
        <v>1</v>
      </c>
      <c r="L5">
        <f t="shared" si="0"/>
        <v>2.5</v>
      </c>
      <c r="M5">
        <f t="shared" si="1"/>
        <v>2.1343747458109497</v>
      </c>
      <c r="N5">
        <f t="shared" si="2"/>
        <v>2.1213203435596424</v>
      </c>
      <c r="O5">
        <f t="shared" si="8"/>
        <v>2.1213203435596424</v>
      </c>
      <c r="P5" t="str">
        <f t="shared" si="9"/>
        <v>C</v>
      </c>
      <c r="Q5">
        <f t="shared" si="3"/>
        <v>0</v>
      </c>
    </row>
    <row r="6" spans="1:45">
      <c r="A6">
        <v>3</v>
      </c>
      <c r="B6">
        <v>4</v>
      </c>
      <c r="C6" t="s">
        <v>1</v>
      </c>
      <c r="D6">
        <f t="shared" si="4"/>
        <v>3</v>
      </c>
      <c r="E6">
        <f t="shared" si="4"/>
        <v>4</v>
      </c>
      <c r="F6" t="str">
        <f t="shared" si="5"/>
        <v/>
      </c>
      <c r="G6" t="str">
        <f t="shared" si="5"/>
        <v/>
      </c>
      <c r="H6" t="str">
        <f t="shared" si="6"/>
        <v/>
      </c>
      <c r="I6" t="str">
        <f t="shared" si="7"/>
        <v/>
      </c>
      <c r="L6">
        <f t="shared" si="0"/>
        <v>1.8027756377319946</v>
      </c>
      <c r="M6">
        <f t="shared" si="1"/>
        <v>1.7950549357115011</v>
      </c>
      <c r="N6">
        <f t="shared" si="2"/>
        <v>1.5811388300841898</v>
      </c>
      <c r="O6">
        <f t="shared" si="8"/>
        <v>1.5811388300841898</v>
      </c>
      <c r="P6" t="str">
        <f t="shared" si="9"/>
        <v>C</v>
      </c>
      <c r="Q6">
        <f t="shared" si="3"/>
        <v>1</v>
      </c>
    </row>
    <row r="7" spans="1:45">
      <c r="A7">
        <v>4</v>
      </c>
      <c r="B7">
        <v>2</v>
      </c>
      <c r="C7" t="s">
        <v>3</v>
      </c>
      <c r="D7" t="str">
        <f t="shared" si="4"/>
        <v/>
      </c>
      <c r="E7" t="str">
        <f t="shared" si="4"/>
        <v/>
      </c>
      <c r="F7">
        <f t="shared" si="5"/>
        <v>4</v>
      </c>
      <c r="G7">
        <f t="shared" si="5"/>
        <v>2</v>
      </c>
      <c r="H7" t="str">
        <f t="shared" si="6"/>
        <v/>
      </c>
      <c r="I7" t="str">
        <f t="shared" si="7"/>
        <v/>
      </c>
      <c r="L7">
        <f t="shared" si="0"/>
        <v>2.0615528128088303</v>
      </c>
      <c r="M7">
        <f t="shared" si="1"/>
        <v>1.6996731711975948</v>
      </c>
      <c r="N7">
        <f t="shared" si="2"/>
        <v>1.5811388300841898</v>
      </c>
      <c r="O7">
        <f t="shared" si="8"/>
        <v>1.5811388300841898</v>
      </c>
      <c r="P7" t="str">
        <f t="shared" si="9"/>
        <v>C</v>
      </c>
      <c r="Q7">
        <f t="shared" si="3"/>
        <v>1</v>
      </c>
      <c r="AS7" s="1"/>
    </row>
    <row r="8" spans="1:45">
      <c r="D8">
        <f t="shared" ref="D8:I8" si="10">AVERAGE(D1:D7)</f>
        <v>2</v>
      </c>
      <c r="E8">
        <f t="shared" si="10"/>
        <v>2.5</v>
      </c>
      <c r="F8">
        <f t="shared" si="10"/>
        <v>2.3333333333333335</v>
      </c>
      <c r="G8">
        <f t="shared" si="10"/>
        <v>2.3333333333333335</v>
      </c>
      <c r="H8">
        <f t="shared" si="10"/>
        <v>2.5</v>
      </c>
      <c r="I8">
        <f t="shared" si="10"/>
        <v>2.5</v>
      </c>
      <c r="Q8">
        <f>SUM(Q1:Q7)</f>
        <v>4</v>
      </c>
      <c r="AS8" s="1"/>
    </row>
    <row r="9" spans="1:45">
      <c r="AS9" s="1"/>
    </row>
    <row r="10" spans="1:45">
      <c r="AS10" s="1"/>
    </row>
    <row r="11" spans="1:45">
      <c r="A11">
        <f t="shared" ref="A11:B14" si="11">A1</f>
        <v>1</v>
      </c>
      <c r="B11">
        <f t="shared" si="11"/>
        <v>1</v>
      </c>
      <c r="C11" t="str">
        <f>P1</f>
        <v>A</v>
      </c>
      <c r="D11">
        <f>IF($C11="A",A11,"")</f>
        <v>1</v>
      </c>
      <c r="E11">
        <f>IF($C11="A",B11,"")</f>
        <v>1</v>
      </c>
      <c r="F11" t="str">
        <f>IF($C11="B",A11,"")</f>
        <v/>
      </c>
      <c r="G11" t="str">
        <f>IF($C11="B",B11,"")</f>
        <v/>
      </c>
      <c r="H11" t="str">
        <f>IF($C11="C",A11,"")</f>
        <v/>
      </c>
      <c r="I11" t="str">
        <f>IF($C11="C",B11,"")</f>
        <v/>
      </c>
      <c r="J11">
        <f>D18</f>
        <v>1</v>
      </c>
      <c r="K11">
        <f>E18</f>
        <v>2</v>
      </c>
      <c r="L11">
        <f t="shared" ref="L11:L17" si="12">SQRT((A11-D$8)^2+(B11-E$8)^2)</f>
        <v>1.8027756377319946</v>
      </c>
      <c r="M11">
        <f t="shared" ref="M11:M17" si="13">SQRT((A11-F$8)^2+(B11-G$8)^2)</f>
        <v>1.8856180831641269</v>
      </c>
      <c r="N11">
        <f t="shared" ref="N11:N17" si="14">SQRT((A11-H$8)^2+(B11-I$8)^2)</f>
        <v>2.1213203435596424</v>
      </c>
      <c r="O11">
        <f>MIN(L11:N11)</f>
        <v>1.8027756377319946</v>
      </c>
      <c r="P11" t="str">
        <f>IF(O11=L11,"A",IF(O11=M11,"B","C"))</f>
        <v>A</v>
      </c>
      <c r="Q11">
        <f t="shared" ref="Q11:Q17" si="15">IF(C11=P11,0,1)</f>
        <v>0</v>
      </c>
      <c r="AS11" s="1"/>
    </row>
    <row r="12" spans="1:45">
      <c r="A12">
        <f t="shared" si="11"/>
        <v>2</v>
      </c>
      <c r="B12">
        <f t="shared" si="11"/>
        <v>2</v>
      </c>
      <c r="C12" t="str">
        <f>P2</f>
        <v>B</v>
      </c>
      <c r="D12" t="str">
        <f t="shared" ref="D12:D13" si="16">IF($C12="A",A12,"")</f>
        <v/>
      </c>
      <c r="E12" t="str">
        <f t="shared" ref="E12:E13" si="17">IF($C12="A",B12,"")</f>
        <v/>
      </c>
      <c r="F12">
        <f t="shared" ref="F12:F17" si="18">IF($C12="B",A12,"")</f>
        <v>2</v>
      </c>
      <c r="G12">
        <f t="shared" ref="G12:G17" si="19">IF($C12="B",B12,"")</f>
        <v>2</v>
      </c>
      <c r="H12" t="str">
        <f t="shared" ref="H12:H17" si="20">IF($C12="C",A12,"")</f>
        <v/>
      </c>
      <c r="I12" t="str">
        <f t="shared" ref="I12:I17" si="21">IF($C12="C",B12,"")</f>
        <v/>
      </c>
      <c r="J12">
        <f>F18</f>
        <v>2</v>
      </c>
      <c r="K12">
        <f>G18</f>
        <v>2</v>
      </c>
      <c r="L12">
        <f t="shared" si="12"/>
        <v>0.5</v>
      </c>
      <c r="M12">
        <f t="shared" si="13"/>
        <v>0.4714045207910319</v>
      </c>
      <c r="N12">
        <f t="shared" si="14"/>
        <v>0.70710678118654757</v>
      </c>
      <c r="O12">
        <f t="shared" ref="O12:O17" si="22">MIN(L12:N12)</f>
        <v>0.4714045207910319</v>
      </c>
      <c r="P12" t="str">
        <f t="shared" ref="P12:P17" si="23">IF(O12=L12,"A",IF(O12=M12,"B","C"))</f>
        <v>B</v>
      </c>
      <c r="Q12">
        <f t="shared" si="15"/>
        <v>0</v>
      </c>
      <c r="AS12" s="1"/>
    </row>
    <row r="13" spans="1:45">
      <c r="A13">
        <f t="shared" si="11"/>
        <v>1</v>
      </c>
      <c r="B13">
        <f t="shared" si="11"/>
        <v>3</v>
      </c>
      <c r="C13" t="str">
        <f>P3</f>
        <v>A</v>
      </c>
      <c r="D13">
        <f t="shared" si="16"/>
        <v>1</v>
      </c>
      <c r="E13">
        <f t="shared" si="17"/>
        <v>3</v>
      </c>
      <c r="F13" t="str">
        <f t="shared" si="18"/>
        <v/>
      </c>
      <c r="G13" t="str">
        <f t="shared" si="19"/>
        <v/>
      </c>
      <c r="H13" t="str">
        <f t="shared" si="20"/>
        <v/>
      </c>
      <c r="I13" t="str">
        <f t="shared" si="21"/>
        <v/>
      </c>
      <c r="J13">
        <f>H18</f>
        <v>0</v>
      </c>
      <c r="K13">
        <f>I18</f>
        <v>0</v>
      </c>
      <c r="L13">
        <f t="shared" si="12"/>
        <v>1.1180339887498949</v>
      </c>
      <c r="M13">
        <f t="shared" si="13"/>
        <v>1.4907119849998598</v>
      </c>
      <c r="N13">
        <f t="shared" si="14"/>
        <v>1.5811388300841898</v>
      </c>
      <c r="O13">
        <f t="shared" si="22"/>
        <v>1.1180339887498949</v>
      </c>
      <c r="P13" t="str">
        <f t="shared" si="23"/>
        <v>A</v>
      </c>
      <c r="Q13">
        <f t="shared" si="15"/>
        <v>0</v>
      </c>
      <c r="AS13" s="1"/>
    </row>
    <row r="14" spans="1:45">
      <c r="A14">
        <f t="shared" si="11"/>
        <v>1</v>
      </c>
      <c r="B14">
        <f t="shared" si="11"/>
        <v>4</v>
      </c>
      <c r="C14" t="str">
        <f>P4</f>
        <v>A</v>
      </c>
      <c r="F14" t="str">
        <f t="shared" si="18"/>
        <v/>
      </c>
      <c r="G14" t="str">
        <f t="shared" si="19"/>
        <v/>
      </c>
      <c r="H14" t="str">
        <f t="shared" si="20"/>
        <v/>
      </c>
      <c r="I14" t="str">
        <f t="shared" si="21"/>
        <v/>
      </c>
      <c r="L14">
        <f t="shared" si="12"/>
        <v>1.8027756377319946</v>
      </c>
      <c r="M14">
        <f t="shared" si="13"/>
        <v>2.1343747458109497</v>
      </c>
      <c r="N14">
        <f t="shared" si="14"/>
        <v>2.1213203435596424</v>
      </c>
      <c r="O14">
        <f t="shared" si="22"/>
        <v>1.8027756377319946</v>
      </c>
      <c r="P14" t="str">
        <f t="shared" si="23"/>
        <v>A</v>
      </c>
      <c r="Q14">
        <f t="shared" si="15"/>
        <v>0</v>
      </c>
      <c r="AS14" s="1"/>
    </row>
    <row r="15" spans="1:45">
      <c r="A15">
        <f t="shared" ref="A15:B17" si="24">A5</f>
        <v>4</v>
      </c>
      <c r="B15">
        <f t="shared" si="24"/>
        <v>1</v>
      </c>
      <c r="C15" t="str">
        <f t="shared" ref="C15:C17" si="25">P5</f>
        <v>C</v>
      </c>
      <c r="D15" t="str">
        <f t="shared" ref="D15:D17" si="26">IF($C15="A",A15,"")</f>
        <v/>
      </c>
      <c r="E15" t="str">
        <f t="shared" ref="E15:E17" si="27">IF($C15="A",B15,"")</f>
        <v/>
      </c>
      <c r="F15" t="str">
        <f t="shared" si="18"/>
        <v/>
      </c>
      <c r="G15" t="str">
        <f t="shared" si="19"/>
        <v/>
      </c>
      <c r="H15">
        <f t="shared" si="20"/>
        <v>4</v>
      </c>
      <c r="I15">
        <f t="shared" si="21"/>
        <v>1</v>
      </c>
      <c r="L15">
        <f t="shared" si="12"/>
        <v>2.5</v>
      </c>
      <c r="M15">
        <f t="shared" si="13"/>
        <v>2.1343747458109497</v>
      </c>
      <c r="N15">
        <f t="shared" si="14"/>
        <v>2.1213203435596424</v>
      </c>
      <c r="O15">
        <f t="shared" si="22"/>
        <v>2.1213203435596424</v>
      </c>
      <c r="P15" t="str">
        <f t="shared" si="23"/>
        <v>C</v>
      </c>
      <c r="Q15">
        <f t="shared" si="15"/>
        <v>0</v>
      </c>
      <c r="AS15" s="1"/>
    </row>
    <row r="16" spans="1:45">
      <c r="A16">
        <f t="shared" si="24"/>
        <v>3</v>
      </c>
      <c r="B16">
        <f t="shared" si="24"/>
        <v>4</v>
      </c>
      <c r="C16" t="str">
        <f t="shared" si="25"/>
        <v>C</v>
      </c>
      <c r="D16" t="str">
        <f t="shared" si="26"/>
        <v/>
      </c>
      <c r="E16" t="str">
        <f t="shared" si="27"/>
        <v/>
      </c>
      <c r="F16" t="str">
        <f t="shared" si="18"/>
        <v/>
      </c>
      <c r="G16" t="str">
        <f t="shared" si="19"/>
        <v/>
      </c>
      <c r="H16">
        <f t="shared" si="20"/>
        <v>3</v>
      </c>
      <c r="I16">
        <f t="shared" si="21"/>
        <v>4</v>
      </c>
      <c r="L16">
        <f t="shared" si="12"/>
        <v>1.8027756377319946</v>
      </c>
      <c r="M16">
        <f t="shared" si="13"/>
        <v>1.7950549357115011</v>
      </c>
      <c r="N16">
        <f t="shared" si="14"/>
        <v>1.5811388300841898</v>
      </c>
      <c r="O16">
        <f t="shared" si="22"/>
        <v>1.5811388300841898</v>
      </c>
      <c r="P16" t="str">
        <f t="shared" si="23"/>
        <v>C</v>
      </c>
      <c r="Q16">
        <f t="shared" si="15"/>
        <v>0</v>
      </c>
      <c r="AS16" s="1"/>
    </row>
    <row r="17" spans="1:45">
      <c r="A17">
        <f t="shared" si="24"/>
        <v>4</v>
      </c>
      <c r="B17">
        <f t="shared" si="24"/>
        <v>2</v>
      </c>
      <c r="C17" t="str">
        <f t="shared" si="25"/>
        <v>C</v>
      </c>
      <c r="D17" t="str">
        <f t="shared" si="26"/>
        <v/>
      </c>
      <c r="E17" t="str">
        <f t="shared" si="27"/>
        <v/>
      </c>
      <c r="F17" t="str">
        <f t="shared" si="18"/>
        <v/>
      </c>
      <c r="G17" t="str">
        <f t="shared" si="19"/>
        <v/>
      </c>
      <c r="H17">
        <f t="shared" si="20"/>
        <v>4</v>
      </c>
      <c r="I17">
        <f t="shared" si="21"/>
        <v>2</v>
      </c>
      <c r="L17">
        <f t="shared" si="12"/>
        <v>2.0615528128088303</v>
      </c>
      <c r="M17">
        <f t="shared" si="13"/>
        <v>1.6996731711975948</v>
      </c>
      <c r="N17">
        <f t="shared" si="14"/>
        <v>1.5811388300841898</v>
      </c>
      <c r="O17">
        <f t="shared" si="22"/>
        <v>1.5811388300841898</v>
      </c>
      <c r="P17" t="str">
        <f t="shared" si="23"/>
        <v>C</v>
      </c>
      <c r="Q17">
        <f t="shared" si="15"/>
        <v>0</v>
      </c>
      <c r="AS17" s="1"/>
    </row>
    <row r="18" spans="1:45">
      <c r="D18">
        <f>AVERAGE(D11:D17)</f>
        <v>1</v>
      </c>
      <c r="E18">
        <f>AVERAGE(E11:E17)</f>
        <v>2</v>
      </c>
      <c r="F18">
        <f>AVERAGE(F11:F17)</f>
        <v>2</v>
      </c>
      <c r="G18">
        <f>AVERAGE(G11:G17)</f>
        <v>2</v>
      </c>
      <c r="Q18">
        <f>SUM(Q11:Q17)</f>
        <v>0</v>
      </c>
      <c r="AS18" s="1"/>
    </row>
    <row r="19" spans="1:45">
      <c r="AS19" s="1"/>
    </row>
    <row r="20" spans="1:45">
      <c r="AS20" s="1"/>
    </row>
    <row r="21" spans="1:45">
      <c r="AS21" s="1"/>
    </row>
    <row r="22" spans="1:45">
      <c r="AS22" s="1"/>
    </row>
    <row r="23" spans="1:45">
      <c r="AS23" s="1"/>
    </row>
    <row r="28" spans="1:45"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4B62-7A1D-4420-872D-D3257187A5F8}">
  <dimension ref="A1:AO28"/>
  <sheetViews>
    <sheetView zoomScale="85" zoomScaleNormal="85" workbookViewId="0">
      <selection activeCell="I1" sqref="I1"/>
    </sheetView>
  </sheetViews>
  <sheetFormatPr defaultRowHeight="18"/>
  <cols>
    <col min="15" max="50" width="3" customWidth="1"/>
  </cols>
  <sheetData>
    <row r="1" spans="1:41">
      <c r="A1">
        <v>1</v>
      </c>
      <c r="B1">
        <v>1</v>
      </c>
      <c r="C1" t="s">
        <v>1</v>
      </c>
      <c r="D1">
        <f>IF($C1="A",A1,"")</f>
        <v>1</v>
      </c>
      <c r="E1">
        <f>IF($C1="A",B1,"")</f>
        <v>1</v>
      </c>
      <c r="F1" t="str">
        <f>IF($C1="B",A1,"")</f>
        <v/>
      </c>
      <c r="G1" t="str">
        <f>IF($C1="B",B1,"")</f>
        <v/>
      </c>
      <c r="H1">
        <f>D8</f>
        <v>2.6666666666666665</v>
      </c>
      <c r="I1">
        <f>E8</f>
        <v>2</v>
      </c>
      <c r="J1">
        <f>SQRT((A1-H$1)^2+(B1-I$1)^2)</f>
        <v>1.9436506316151001</v>
      </c>
      <c r="K1">
        <f>SQRT((A1-H$2)^2+(B1-I$2)^2)</f>
        <v>1.8856180831641269</v>
      </c>
      <c r="L1" t="str">
        <f>IF(J1&lt;K1,"A","B")</f>
        <v>B</v>
      </c>
      <c r="M1">
        <f>IF(C1=L1,0,1)</f>
        <v>1</v>
      </c>
    </row>
    <row r="2" spans="1:41">
      <c r="A2">
        <v>2</v>
      </c>
      <c r="B2">
        <v>2</v>
      </c>
      <c r="C2" t="s">
        <v>3</v>
      </c>
      <c r="D2" t="str">
        <f t="shared" ref="D2:E7" si="0">IF($C2="A",A2,"")</f>
        <v/>
      </c>
      <c r="E2" t="str">
        <f t="shared" si="0"/>
        <v/>
      </c>
      <c r="F2">
        <f t="shared" ref="F2:G7" si="1">IF($C2="B",A2,"")</f>
        <v>2</v>
      </c>
      <c r="G2">
        <f t="shared" si="1"/>
        <v>2</v>
      </c>
      <c r="H2">
        <f>F8</f>
        <v>2.3333333333333335</v>
      </c>
      <c r="I2">
        <f>G8</f>
        <v>2.3333333333333335</v>
      </c>
      <c r="J2">
        <f t="shared" ref="J2:J7" si="2">SQRT((A2-H$1)^2+(B2-I$1)^2)</f>
        <v>0.66666666666666652</v>
      </c>
      <c r="K2">
        <f t="shared" ref="K2:K7" si="3">SQRT((A2-H$2)^2+(B2-I$2)^2)</f>
        <v>0.4714045207910319</v>
      </c>
      <c r="L2" t="str">
        <f t="shared" ref="L2:L7" si="4">IF(J2&lt;K2,"A","B")</f>
        <v>B</v>
      </c>
      <c r="M2">
        <f t="shared" ref="M2:M7" si="5">IF(C2=L2,0,1)</f>
        <v>0</v>
      </c>
    </row>
    <row r="3" spans="1:41">
      <c r="A3">
        <v>1</v>
      </c>
      <c r="B3">
        <v>3</v>
      </c>
      <c r="C3" t="s">
        <v>3</v>
      </c>
      <c r="D3" t="str">
        <f t="shared" si="0"/>
        <v/>
      </c>
      <c r="E3" t="str">
        <f t="shared" si="0"/>
        <v/>
      </c>
      <c r="F3">
        <f t="shared" si="1"/>
        <v>1</v>
      </c>
      <c r="G3">
        <f t="shared" si="1"/>
        <v>3</v>
      </c>
      <c r="J3">
        <f t="shared" si="2"/>
        <v>1.9436506316151001</v>
      </c>
      <c r="K3">
        <f t="shared" si="3"/>
        <v>1.4907119849998598</v>
      </c>
      <c r="L3" t="str">
        <f t="shared" si="4"/>
        <v>B</v>
      </c>
      <c r="M3">
        <f t="shared" si="5"/>
        <v>0</v>
      </c>
    </row>
    <row r="4" spans="1:41">
      <c r="A4">
        <v>1</v>
      </c>
      <c r="B4">
        <v>4</v>
      </c>
      <c r="C4" t="s">
        <v>1</v>
      </c>
      <c r="F4" t="str">
        <f t="shared" si="1"/>
        <v/>
      </c>
      <c r="G4" t="str">
        <f t="shared" si="1"/>
        <v/>
      </c>
      <c r="J4">
        <f t="shared" si="2"/>
        <v>2.6034165586355513</v>
      </c>
      <c r="K4">
        <f t="shared" si="3"/>
        <v>2.1343747458109497</v>
      </c>
      <c r="L4" t="str">
        <f t="shared" si="4"/>
        <v>B</v>
      </c>
      <c r="M4">
        <f t="shared" si="5"/>
        <v>1</v>
      </c>
    </row>
    <row r="5" spans="1:41">
      <c r="A5">
        <v>4</v>
      </c>
      <c r="B5">
        <v>1</v>
      </c>
      <c r="C5" t="s">
        <v>1</v>
      </c>
      <c r="D5">
        <f t="shared" si="0"/>
        <v>4</v>
      </c>
      <c r="E5">
        <f t="shared" si="0"/>
        <v>1</v>
      </c>
      <c r="F5" t="str">
        <f t="shared" si="1"/>
        <v/>
      </c>
      <c r="G5" t="str">
        <f t="shared" si="1"/>
        <v/>
      </c>
      <c r="J5">
        <f t="shared" si="2"/>
        <v>1.6666666666666667</v>
      </c>
      <c r="K5">
        <f t="shared" si="3"/>
        <v>2.1343747458109497</v>
      </c>
      <c r="L5" t="str">
        <f t="shared" si="4"/>
        <v>A</v>
      </c>
      <c r="M5">
        <f t="shared" si="5"/>
        <v>0</v>
      </c>
    </row>
    <row r="6" spans="1:41">
      <c r="A6">
        <v>3</v>
      </c>
      <c r="B6">
        <v>4</v>
      </c>
      <c r="C6" t="s">
        <v>1</v>
      </c>
      <c r="D6">
        <f t="shared" si="0"/>
        <v>3</v>
      </c>
      <c r="E6">
        <f t="shared" si="0"/>
        <v>4</v>
      </c>
      <c r="F6" t="str">
        <f t="shared" si="1"/>
        <v/>
      </c>
      <c r="G6" t="str">
        <f t="shared" si="1"/>
        <v/>
      </c>
      <c r="J6">
        <f t="shared" si="2"/>
        <v>2.0275875100994067</v>
      </c>
      <c r="K6">
        <f t="shared" si="3"/>
        <v>1.7950549357115011</v>
      </c>
      <c r="L6" t="str">
        <f t="shared" si="4"/>
        <v>B</v>
      </c>
      <c r="M6">
        <f t="shared" si="5"/>
        <v>1</v>
      </c>
    </row>
    <row r="7" spans="1:41">
      <c r="A7">
        <v>4</v>
      </c>
      <c r="B7">
        <v>2</v>
      </c>
      <c r="C7" t="s">
        <v>3</v>
      </c>
      <c r="D7" t="str">
        <f t="shared" si="0"/>
        <v/>
      </c>
      <c r="E7" t="str">
        <f t="shared" si="0"/>
        <v/>
      </c>
      <c r="F7">
        <f t="shared" si="1"/>
        <v>4</v>
      </c>
      <c r="G7">
        <f t="shared" si="1"/>
        <v>2</v>
      </c>
      <c r="J7">
        <f t="shared" si="2"/>
        <v>1.3333333333333335</v>
      </c>
      <c r="K7">
        <f t="shared" si="3"/>
        <v>1.6996731711975948</v>
      </c>
      <c r="L7" t="str">
        <f t="shared" si="4"/>
        <v>A</v>
      </c>
      <c r="M7">
        <f t="shared" si="5"/>
        <v>1</v>
      </c>
      <c r="AO7" s="1"/>
    </row>
    <row r="8" spans="1:41">
      <c r="D8">
        <f>AVERAGE(D1:D7)</f>
        <v>2.6666666666666665</v>
      </c>
      <c r="E8">
        <f>AVERAGE(E1:E7)</f>
        <v>2</v>
      </c>
      <c r="F8">
        <f>AVERAGE(F1:F7)</f>
        <v>2.3333333333333335</v>
      </c>
      <c r="G8">
        <f>AVERAGE(G1:G7)</f>
        <v>2.3333333333333335</v>
      </c>
      <c r="M8">
        <f>SUM(M1:M7)</f>
        <v>4</v>
      </c>
      <c r="AO8" s="1"/>
    </row>
    <row r="9" spans="1:41">
      <c r="AO9" s="1"/>
    </row>
    <row r="10" spans="1:41">
      <c r="AO10" s="1"/>
    </row>
    <row r="11" spans="1:41">
      <c r="A11">
        <f>A1</f>
        <v>1</v>
      </c>
      <c r="B11">
        <f>B1</f>
        <v>1</v>
      </c>
      <c r="C11" t="str">
        <f>L1</f>
        <v>B</v>
      </c>
      <c r="D11" t="str">
        <f>IF($C11="A",A11,"")</f>
        <v/>
      </c>
      <c r="E11" t="str">
        <f>IF($C11="A",B11,"")</f>
        <v/>
      </c>
      <c r="F11">
        <f>IF($C11="B",A11,"")</f>
        <v>1</v>
      </c>
      <c r="G11">
        <f>IF($C11="B",B11,"")</f>
        <v>1</v>
      </c>
      <c r="H11">
        <f>D18</f>
        <v>4</v>
      </c>
      <c r="I11">
        <f>E18</f>
        <v>1.5</v>
      </c>
      <c r="J11">
        <f>SQRT((A11-H$1)^2+(B11-I$1)^2)</f>
        <v>1.9436506316151001</v>
      </c>
      <c r="K11">
        <f>SQRT((A11-H$2)^2+(B11-I$2)^2)</f>
        <v>1.8856180831641269</v>
      </c>
      <c r="L11" t="str">
        <f>IF(J11&lt;K11,"A","B")</f>
        <v>B</v>
      </c>
      <c r="M11">
        <f>IF(C11=L11,0,1)</f>
        <v>0</v>
      </c>
      <c r="AO11" s="1"/>
    </row>
    <row r="12" spans="1:41">
      <c r="A12">
        <f t="shared" ref="A12:B17" si="6">A2</f>
        <v>2</v>
      </c>
      <c r="B12">
        <f t="shared" si="6"/>
        <v>2</v>
      </c>
      <c r="C12" t="str">
        <f t="shared" ref="C12:C17" si="7">L2</f>
        <v>B</v>
      </c>
      <c r="D12" t="str">
        <f t="shared" ref="D12:E17" si="8">IF($C12="A",A12,"")</f>
        <v/>
      </c>
      <c r="E12" t="str">
        <f t="shared" si="8"/>
        <v/>
      </c>
      <c r="F12">
        <f t="shared" ref="F12:G17" si="9">IF($C12="B",A12,"")</f>
        <v>2</v>
      </c>
      <c r="G12">
        <f t="shared" si="9"/>
        <v>2</v>
      </c>
      <c r="H12">
        <f>F18</f>
        <v>1.6</v>
      </c>
      <c r="I12">
        <f>G18</f>
        <v>2.8</v>
      </c>
      <c r="J12">
        <f t="shared" ref="J12:J17" si="10">SQRT((A12-H$1)^2+(B12-I$1)^2)</f>
        <v>0.66666666666666652</v>
      </c>
      <c r="K12">
        <f t="shared" ref="K12:K17" si="11">SQRT((A12-H$2)^2+(B12-I$2)^2)</f>
        <v>0.4714045207910319</v>
      </c>
      <c r="L12" t="str">
        <f t="shared" ref="L12:L17" si="12">IF(J12&lt;K12,"A","B")</f>
        <v>B</v>
      </c>
      <c r="M12">
        <f t="shared" ref="M12:M17" si="13">IF(C12=L12,0,1)</f>
        <v>0</v>
      </c>
      <c r="AO12" s="1"/>
    </row>
    <row r="13" spans="1:41">
      <c r="A13">
        <f t="shared" si="6"/>
        <v>1</v>
      </c>
      <c r="B13">
        <f t="shared" si="6"/>
        <v>3</v>
      </c>
      <c r="C13" t="str">
        <f t="shared" si="7"/>
        <v>B</v>
      </c>
      <c r="D13" t="str">
        <f t="shared" si="8"/>
        <v/>
      </c>
      <c r="E13" t="str">
        <f t="shared" si="8"/>
        <v/>
      </c>
      <c r="F13">
        <f t="shared" si="9"/>
        <v>1</v>
      </c>
      <c r="G13">
        <f t="shared" si="9"/>
        <v>3</v>
      </c>
      <c r="J13">
        <f t="shared" si="10"/>
        <v>1.9436506316151001</v>
      </c>
      <c r="K13">
        <f t="shared" si="11"/>
        <v>1.4907119849998598</v>
      </c>
      <c r="L13" t="str">
        <f t="shared" si="12"/>
        <v>B</v>
      </c>
      <c r="M13">
        <f t="shared" si="13"/>
        <v>0</v>
      </c>
      <c r="AO13" s="1"/>
    </row>
    <row r="14" spans="1:41">
      <c r="A14">
        <f t="shared" si="6"/>
        <v>1</v>
      </c>
      <c r="B14">
        <f t="shared" si="6"/>
        <v>4</v>
      </c>
      <c r="C14" t="str">
        <f t="shared" si="7"/>
        <v>B</v>
      </c>
      <c r="D14" t="str">
        <f t="shared" si="8"/>
        <v/>
      </c>
      <c r="E14" t="str">
        <f t="shared" si="8"/>
        <v/>
      </c>
      <c r="F14">
        <f t="shared" si="9"/>
        <v>1</v>
      </c>
      <c r="G14">
        <f t="shared" si="9"/>
        <v>4</v>
      </c>
      <c r="J14">
        <f t="shared" si="10"/>
        <v>2.6034165586355513</v>
      </c>
      <c r="K14">
        <f t="shared" si="11"/>
        <v>2.1343747458109497</v>
      </c>
      <c r="L14" t="str">
        <f t="shared" si="12"/>
        <v>B</v>
      </c>
      <c r="M14">
        <f t="shared" si="13"/>
        <v>0</v>
      </c>
      <c r="AO14" s="1"/>
    </row>
    <row r="15" spans="1:41">
      <c r="A15">
        <f t="shared" si="6"/>
        <v>4</v>
      </c>
      <c r="B15">
        <f t="shared" si="6"/>
        <v>1</v>
      </c>
      <c r="C15" t="str">
        <f t="shared" si="7"/>
        <v>A</v>
      </c>
      <c r="D15">
        <f t="shared" si="8"/>
        <v>4</v>
      </c>
      <c r="E15">
        <f t="shared" si="8"/>
        <v>1</v>
      </c>
      <c r="F15" t="str">
        <f t="shared" si="9"/>
        <v/>
      </c>
      <c r="G15" t="str">
        <f t="shared" si="9"/>
        <v/>
      </c>
      <c r="J15">
        <f t="shared" si="10"/>
        <v>1.6666666666666667</v>
      </c>
      <c r="K15">
        <f t="shared" si="11"/>
        <v>2.1343747458109497</v>
      </c>
      <c r="L15" t="str">
        <f t="shared" si="12"/>
        <v>A</v>
      </c>
      <c r="M15">
        <f t="shared" si="13"/>
        <v>0</v>
      </c>
      <c r="AO15" s="1"/>
    </row>
    <row r="16" spans="1:41">
      <c r="A16">
        <f t="shared" si="6"/>
        <v>3</v>
      </c>
      <c r="B16">
        <f t="shared" si="6"/>
        <v>4</v>
      </c>
      <c r="C16" t="str">
        <f t="shared" si="7"/>
        <v>B</v>
      </c>
      <c r="D16" t="str">
        <f t="shared" si="8"/>
        <v/>
      </c>
      <c r="E16" t="str">
        <f t="shared" si="8"/>
        <v/>
      </c>
      <c r="F16">
        <f t="shared" si="9"/>
        <v>3</v>
      </c>
      <c r="G16">
        <f t="shared" si="9"/>
        <v>4</v>
      </c>
      <c r="J16">
        <f t="shared" si="10"/>
        <v>2.0275875100994067</v>
      </c>
      <c r="K16">
        <f t="shared" si="11"/>
        <v>1.7950549357115011</v>
      </c>
      <c r="L16" t="str">
        <f t="shared" si="12"/>
        <v>B</v>
      </c>
      <c r="M16">
        <f t="shared" si="13"/>
        <v>0</v>
      </c>
      <c r="AO16" s="1"/>
    </row>
    <row r="17" spans="1:41">
      <c r="A17">
        <f t="shared" si="6"/>
        <v>4</v>
      </c>
      <c r="B17">
        <f t="shared" si="6"/>
        <v>2</v>
      </c>
      <c r="C17" t="str">
        <f t="shared" si="7"/>
        <v>A</v>
      </c>
      <c r="D17">
        <f t="shared" si="8"/>
        <v>4</v>
      </c>
      <c r="E17">
        <f t="shared" si="8"/>
        <v>2</v>
      </c>
      <c r="F17" t="str">
        <f t="shared" si="9"/>
        <v/>
      </c>
      <c r="G17" t="str">
        <f t="shared" si="9"/>
        <v/>
      </c>
      <c r="J17">
        <f t="shared" si="10"/>
        <v>1.3333333333333335</v>
      </c>
      <c r="K17">
        <f t="shared" si="11"/>
        <v>1.6996731711975948</v>
      </c>
      <c r="L17" t="str">
        <f t="shared" si="12"/>
        <v>A</v>
      </c>
      <c r="M17">
        <f t="shared" si="13"/>
        <v>0</v>
      </c>
      <c r="AO17" s="1"/>
    </row>
    <row r="18" spans="1:41">
      <c r="D18">
        <f>AVERAGE(D11:D17)</f>
        <v>4</v>
      </c>
      <c r="E18">
        <f>AVERAGE(E11:E17)</f>
        <v>1.5</v>
      </c>
      <c r="F18">
        <f>AVERAGE(F11:F17)</f>
        <v>1.6</v>
      </c>
      <c r="G18">
        <f>AVERAGE(G11:G17)</f>
        <v>2.8</v>
      </c>
      <c r="M18">
        <f>SUM(M11:M17)</f>
        <v>0</v>
      </c>
      <c r="AO18" s="1"/>
    </row>
    <row r="19" spans="1:41">
      <c r="AO19" s="1"/>
    </row>
    <row r="20" spans="1:41">
      <c r="AO20" s="1"/>
    </row>
    <row r="21" spans="1:41">
      <c r="AO21" s="1"/>
    </row>
    <row r="22" spans="1:41">
      <c r="AO22" s="1"/>
    </row>
    <row r="23" spans="1:41">
      <c r="AO23" s="1"/>
    </row>
    <row r="28" spans="1:41"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6106E-A925-4871-8482-ADE0FDCC9965}">
  <dimension ref="A1:AS32"/>
  <sheetViews>
    <sheetView zoomScale="55" zoomScaleNormal="55" workbookViewId="0">
      <selection activeCell="A21" sqref="A21"/>
    </sheetView>
  </sheetViews>
  <sheetFormatPr defaultRowHeight="18"/>
  <cols>
    <col min="19" max="54" width="3" customWidth="1"/>
  </cols>
  <sheetData>
    <row r="1" spans="1:45">
      <c r="A1">
        <v>2</v>
      </c>
      <c r="B1">
        <v>3</v>
      </c>
      <c r="C1" t="s">
        <v>0</v>
      </c>
      <c r="D1">
        <f>IF($C1="A",A1,"")</f>
        <v>2</v>
      </c>
      <c r="E1">
        <f>IF($C1="A",B1,"")</f>
        <v>3</v>
      </c>
      <c r="F1" t="str">
        <f>IF($C1="B",A1,"")</f>
        <v/>
      </c>
      <c r="G1" t="str">
        <f>IF($C1="B",B1,"")</f>
        <v/>
      </c>
      <c r="H1" t="str">
        <f>IF($C1="C",A1,"")</f>
        <v/>
      </c>
      <c r="I1" t="str">
        <f>IF($C1="C",B1,"")</f>
        <v/>
      </c>
      <c r="J1">
        <f>D10</f>
        <v>4.666666666666667</v>
      </c>
      <c r="K1">
        <f>E10</f>
        <v>4</v>
      </c>
      <c r="L1">
        <f>SQRT((A1-D$10)^2+(B1-E$10)^2)</f>
        <v>2.8480012484391772</v>
      </c>
      <c r="M1">
        <f>SQRT((A1-F$10)^2+(B1-G$10)^2)</f>
        <v>5.7057475895412297</v>
      </c>
      <c r="N1">
        <f>SQRT((A1-H$10)^2+(B1-I$10)^2)</f>
        <v>3.4318767136623336</v>
      </c>
      <c r="O1">
        <f>MIN(L1:N1)</f>
        <v>2.8480012484391772</v>
      </c>
      <c r="P1" t="str">
        <f>IF(O1=L1,"A",IF(O1=M1,"B","C"))</f>
        <v>A</v>
      </c>
      <c r="Q1">
        <f>IF(C1=P1,0,1)</f>
        <v>0</v>
      </c>
    </row>
    <row r="2" spans="1:45">
      <c r="A2">
        <v>8</v>
      </c>
      <c r="B2">
        <v>8</v>
      </c>
      <c r="C2" t="s">
        <v>0</v>
      </c>
      <c r="D2">
        <f t="shared" ref="D2:D9" si="0">IF($C2="A",A2,"")</f>
        <v>8</v>
      </c>
      <c r="E2">
        <f t="shared" ref="E2:E9" si="1">IF($C2="A",B2,"")</f>
        <v>8</v>
      </c>
      <c r="F2" t="str">
        <f t="shared" ref="F2:F9" si="2">IF($C2="B",A2,"")</f>
        <v/>
      </c>
      <c r="G2" t="str">
        <f t="shared" ref="G2:G9" si="3">IF($C2="B",B2,"")</f>
        <v/>
      </c>
      <c r="H2" t="str">
        <f t="shared" ref="H2:H9" si="4">IF($C2="C",A2,"")</f>
        <v/>
      </c>
      <c r="I2" t="str">
        <f t="shared" ref="I2:I9" si="5">IF($C2="C",B2,"")</f>
        <v/>
      </c>
      <c r="J2">
        <f>F10</f>
        <v>7.666666666666667</v>
      </c>
      <c r="K2">
        <f>G10</f>
        <v>3.6666666666666665</v>
      </c>
      <c r="L2">
        <f t="shared" ref="L2:L9" si="6">SQRT((A2-D$10)^2+(B2-E$10)^2)</f>
        <v>5.2068331172711027</v>
      </c>
      <c r="M2">
        <f t="shared" ref="M2:M9" si="7">SQRT((A2-F$10)^2+(B2-G$10)^2)</f>
        <v>4.3461349368017661</v>
      </c>
      <c r="N2">
        <f t="shared" ref="N2:N9" si="8">SQRT((A2-H$10)^2+(B2-I$10)^2)</f>
        <v>4.4845413490245694</v>
      </c>
      <c r="O2">
        <f t="shared" ref="O2:O9" si="9">MIN(L2:N2)</f>
        <v>4.3461349368017661</v>
      </c>
      <c r="P2" t="str">
        <f t="shared" ref="P2:P9" si="10">IF(O2=L2,"A",IF(O2=M2,"B","C"))</f>
        <v>B</v>
      </c>
      <c r="Q2">
        <f t="shared" ref="Q2:Q9" si="11">IF(C2=P2,0,1)</f>
        <v>1</v>
      </c>
    </row>
    <row r="3" spans="1:45">
      <c r="A3">
        <v>4</v>
      </c>
      <c r="B3">
        <v>1</v>
      </c>
      <c r="C3" t="s">
        <v>0</v>
      </c>
      <c r="D3">
        <f t="shared" si="0"/>
        <v>4</v>
      </c>
      <c r="E3">
        <f t="shared" si="1"/>
        <v>1</v>
      </c>
      <c r="F3" t="str">
        <f t="shared" si="2"/>
        <v/>
      </c>
      <c r="G3" t="str">
        <f t="shared" si="3"/>
        <v/>
      </c>
      <c r="H3" t="str">
        <f t="shared" si="4"/>
        <v/>
      </c>
      <c r="I3" t="str">
        <f t="shared" si="5"/>
        <v/>
      </c>
      <c r="J3">
        <f>H10</f>
        <v>5</v>
      </c>
      <c r="K3">
        <f>I10</f>
        <v>4.666666666666667</v>
      </c>
      <c r="L3">
        <f t="shared" si="6"/>
        <v>3.0731814857642958</v>
      </c>
      <c r="M3">
        <f t="shared" si="7"/>
        <v>4.5338235029118144</v>
      </c>
      <c r="N3">
        <f t="shared" si="8"/>
        <v>3.8005847503304602</v>
      </c>
      <c r="O3">
        <f t="shared" si="9"/>
        <v>3.0731814857642958</v>
      </c>
      <c r="P3" t="str">
        <f t="shared" si="10"/>
        <v>A</v>
      </c>
      <c r="Q3">
        <f t="shared" si="11"/>
        <v>0</v>
      </c>
    </row>
    <row r="4" spans="1:45">
      <c r="A4">
        <v>6</v>
      </c>
      <c r="B4">
        <v>8</v>
      </c>
      <c r="C4" t="s">
        <v>2</v>
      </c>
      <c r="D4" t="str">
        <f t="shared" si="0"/>
        <v/>
      </c>
      <c r="E4" t="str">
        <f t="shared" si="1"/>
        <v/>
      </c>
      <c r="F4">
        <f t="shared" si="2"/>
        <v>6</v>
      </c>
      <c r="G4">
        <f t="shared" si="3"/>
        <v>8</v>
      </c>
      <c r="H4" t="str">
        <f t="shared" si="4"/>
        <v/>
      </c>
      <c r="I4" t="str">
        <f t="shared" si="5"/>
        <v/>
      </c>
      <c r="L4">
        <f t="shared" si="6"/>
        <v>4.2163702135578394</v>
      </c>
      <c r="M4">
        <f t="shared" si="7"/>
        <v>4.6427960923947067</v>
      </c>
      <c r="N4">
        <f t="shared" si="8"/>
        <v>3.4801021696368499</v>
      </c>
      <c r="O4">
        <f t="shared" si="9"/>
        <v>3.4801021696368499</v>
      </c>
      <c r="P4" t="str">
        <f t="shared" si="10"/>
        <v>C</v>
      </c>
      <c r="Q4">
        <f t="shared" si="11"/>
        <v>1</v>
      </c>
    </row>
    <row r="5" spans="1:45">
      <c r="A5">
        <v>10</v>
      </c>
      <c r="B5">
        <v>1</v>
      </c>
      <c r="C5" t="s">
        <v>2</v>
      </c>
      <c r="D5" t="str">
        <f t="shared" si="0"/>
        <v/>
      </c>
      <c r="E5" t="str">
        <f t="shared" si="1"/>
        <v/>
      </c>
      <c r="F5">
        <f t="shared" si="2"/>
        <v>10</v>
      </c>
      <c r="G5">
        <f t="shared" si="3"/>
        <v>1</v>
      </c>
      <c r="H5" t="str">
        <f t="shared" si="4"/>
        <v/>
      </c>
      <c r="I5" t="str">
        <f t="shared" si="5"/>
        <v/>
      </c>
      <c r="L5">
        <f t="shared" si="6"/>
        <v>6.1191865835619392</v>
      </c>
      <c r="M5">
        <f t="shared" si="7"/>
        <v>3.5433819375782161</v>
      </c>
      <c r="N5">
        <f t="shared" si="8"/>
        <v>6.2003584125794244</v>
      </c>
      <c r="O5">
        <f t="shared" si="9"/>
        <v>3.5433819375782161</v>
      </c>
      <c r="P5" t="str">
        <f t="shared" si="10"/>
        <v>B</v>
      </c>
      <c r="Q5">
        <f t="shared" si="11"/>
        <v>0</v>
      </c>
    </row>
    <row r="6" spans="1:45">
      <c r="A6">
        <v>7</v>
      </c>
      <c r="B6">
        <v>2</v>
      </c>
      <c r="C6" t="s">
        <v>2</v>
      </c>
      <c r="D6" t="str">
        <f t="shared" si="0"/>
        <v/>
      </c>
      <c r="E6" t="str">
        <f t="shared" si="1"/>
        <v/>
      </c>
      <c r="F6">
        <f t="shared" si="2"/>
        <v>7</v>
      </c>
      <c r="G6">
        <f t="shared" si="3"/>
        <v>2</v>
      </c>
      <c r="H6" t="str">
        <f t="shared" si="4"/>
        <v/>
      </c>
      <c r="I6" t="str">
        <f t="shared" si="5"/>
        <v/>
      </c>
      <c r="L6">
        <f t="shared" si="6"/>
        <v>3.0731814857642954</v>
      </c>
      <c r="M6">
        <f t="shared" si="7"/>
        <v>1.7950549357115013</v>
      </c>
      <c r="N6">
        <f t="shared" si="8"/>
        <v>3.3333333333333335</v>
      </c>
      <c r="O6">
        <f t="shared" si="9"/>
        <v>1.7950549357115013</v>
      </c>
      <c r="P6" t="str">
        <f t="shared" si="10"/>
        <v>B</v>
      </c>
      <c r="Q6">
        <f t="shared" si="11"/>
        <v>0</v>
      </c>
    </row>
    <row r="7" spans="1:45">
      <c r="A7">
        <v>9</v>
      </c>
      <c r="B7">
        <v>5</v>
      </c>
      <c r="C7" t="s">
        <v>4</v>
      </c>
      <c r="D7" t="str">
        <f t="shared" si="0"/>
        <v/>
      </c>
      <c r="E7" t="str">
        <f t="shared" si="1"/>
        <v/>
      </c>
      <c r="F7" t="str">
        <f t="shared" si="2"/>
        <v/>
      </c>
      <c r="G7" t="str">
        <f t="shared" si="3"/>
        <v/>
      </c>
      <c r="H7">
        <f t="shared" si="4"/>
        <v>9</v>
      </c>
      <c r="I7">
        <f t="shared" si="5"/>
        <v>5</v>
      </c>
      <c r="L7">
        <f t="shared" si="6"/>
        <v>4.4472213547087778</v>
      </c>
      <c r="M7">
        <f t="shared" si="7"/>
        <v>1.8856180831641267</v>
      </c>
      <c r="N7">
        <f t="shared" si="8"/>
        <v>4.0138648595974313</v>
      </c>
      <c r="O7">
        <f t="shared" si="9"/>
        <v>1.8856180831641267</v>
      </c>
      <c r="P7" t="str">
        <f t="shared" si="10"/>
        <v>B</v>
      </c>
      <c r="Q7">
        <f t="shared" si="11"/>
        <v>1</v>
      </c>
    </row>
    <row r="8" spans="1:45">
      <c r="A8">
        <v>1</v>
      </c>
      <c r="B8">
        <v>5</v>
      </c>
      <c r="C8" t="s">
        <v>4</v>
      </c>
      <c r="D8" t="str">
        <f t="shared" si="0"/>
        <v/>
      </c>
      <c r="E8" t="str">
        <f t="shared" si="1"/>
        <v/>
      </c>
      <c r="F8" t="str">
        <f t="shared" si="2"/>
        <v/>
      </c>
      <c r="G8" t="str">
        <f t="shared" si="3"/>
        <v/>
      </c>
      <c r="H8">
        <f t="shared" si="4"/>
        <v>1</v>
      </c>
      <c r="I8">
        <f t="shared" si="5"/>
        <v>5</v>
      </c>
      <c r="L8">
        <f t="shared" si="6"/>
        <v>3.8005847503304602</v>
      </c>
      <c r="M8">
        <f t="shared" si="7"/>
        <v>6.7986926847903799</v>
      </c>
      <c r="N8">
        <f t="shared" si="8"/>
        <v>4.0138648595974313</v>
      </c>
      <c r="O8">
        <f t="shared" si="9"/>
        <v>3.8005847503304602</v>
      </c>
      <c r="P8" t="str">
        <f t="shared" si="10"/>
        <v>A</v>
      </c>
      <c r="Q8">
        <f t="shared" si="11"/>
        <v>1</v>
      </c>
    </row>
    <row r="9" spans="1:45">
      <c r="A9">
        <v>5</v>
      </c>
      <c r="B9">
        <v>4</v>
      </c>
      <c r="C9" t="s">
        <v>4</v>
      </c>
      <c r="D9" t="str">
        <f t="shared" si="0"/>
        <v/>
      </c>
      <c r="E9" t="str">
        <f t="shared" si="1"/>
        <v/>
      </c>
      <c r="F9" t="str">
        <f t="shared" si="2"/>
        <v/>
      </c>
      <c r="G9" t="str">
        <f t="shared" si="3"/>
        <v/>
      </c>
      <c r="H9">
        <f t="shared" si="4"/>
        <v>5</v>
      </c>
      <c r="I9">
        <f t="shared" si="5"/>
        <v>4</v>
      </c>
      <c r="L9">
        <f t="shared" si="6"/>
        <v>0.33333333333333304</v>
      </c>
      <c r="M9">
        <f t="shared" si="7"/>
        <v>2.6874192494328502</v>
      </c>
      <c r="N9">
        <f t="shared" si="8"/>
        <v>0.66666666666666696</v>
      </c>
      <c r="O9">
        <f t="shared" si="9"/>
        <v>0.33333333333333304</v>
      </c>
      <c r="P9" t="str">
        <f t="shared" si="10"/>
        <v>A</v>
      </c>
      <c r="Q9">
        <f t="shared" si="11"/>
        <v>1</v>
      </c>
      <c r="AS9" s="1"/>
    </row>
    <row r="10" spans="1:45">
      <c r="D10">
        <f t="shared" ref="D10:I10" si="12">AVERAGE(D1:D9)</f>
        <v>4.666666666666667</v>
      </c>
      <c r="E10">
        <f t="shared" si="12"/>
        <v>4</v>
      </c>
      <c r="F10">
        <f t="shared" si="12"/>
        <v>7.666666666666667</v>
      </c>
      <c r="G10">
        <f t="shared" si="12"/>
        <v>3.6666666666666665</v>
      </c>
      <c r="H10">
        <f t="shared" si="12"/>
        <v>5</v>
      </c>
      <c r="I10">
        <f t="shared" si="12"/>
        <v>4.666666666666667</v>
      </c>
      <c r="Q10">
        <f>SUM(Q1:Q9)</f>
        <v>5</v>
      </c>
      <c r="AS10" s="1"/>
    </row>
    <row r="11" spans="1:45">
      <c r="AS11" s="1"/>
    </row>
    <row r="12" spans="1:45">
      <c r="AS12" s="1"/>
    </row>
    <row r="13" spans="1:45">
      <c r="A13">
        <f>A1</f>
        <v>2</v>
      </c>
      <c r="B13">
        <f>B1</f>
        <v>3</v>
      </c>
      <c r="C13" t="str">
        <f>P1</f>
        <v>A</v>
      </c>
      <c r="D13">
        <f>IF($C13="A",A13,"")</f>
        <v>2</v>
      </c>
      <c r="E13">
        <f>IF($C13="A",B13,"")</f>
        <v>3</v>
      </c>
      <c r="F13" t="str">
        <f>IF($C13="B",A13,"")</f>
        <v/>
      </c>
      <c r="G13" t="str">
        <f>IF($C13="B",B13,"")</f>
        <v/>
      </c>
      <c r="H13" t="str">
        <f>IF($C13="C",A13,"")</f>
        <v/>
      </c>
      <c r="I13" t="str">
        <f>IF($C13="C",B13,"")</f>
        <v/>
      </c>
      <c r="J13">
        <f>D22</f>
        <v>3</v>
      </c>
      <c r="K13">
        <f>E22</f>
        <v>3.25</v>
      </c>
      <c r="L13">
        <f>SQRT((A13-D$22)^2+(B13-E$22)^2)</f>
        <v>1.0307764064044151</v>
      </c>
      <c r="M13">
        <f>SQRT((A13-F$22)^2+(B13-G$22)^2)</f>
        <v>6.5764732189829527</v>
      </c>
      <c r="N13">
        <f>SQRT((A13-H$22)^2+(B13-I$10)^2)</f>
        <v>4.333333333333333</v>
      </c>
      <c r="O13">
        <f>MIN(L13:N13)</f>
        <v>1.0307764064044151</v>
      </c>
      <c r="P13" t="str">
        <f>IF(O13=L13,"A",IF(O13=M13,"B","C"))</f>
        <v>A</v>
      </c>
      <c r="Q13">
        <f>IF(C13=P13,0,1)</f>
        <v>0</v>
      </c>
      <c r="AS13" s="1"/>
    </row>
    <row r="14" spans="1:45">
      <c r="A14">
        <f t="shared" ref="A14:B14" si="13">A2</f>
        <v>8</v>
      </c>
      <c r="B14">
        <f t="shared" si="13"/>
        <v>8</v>
      </c>
      <c r="C14" t="str">
        <f t="shared" ref="C14:C21" si="14">P2</f>
        <v>B</v>
      </c>
      <c r="D14" t="str">
        <f t="shared" ref="D14:D21" si="15">IF($C14="A",A14,"")</f>
        <v/>
      </c>
      <c r="E14" t="str">
        <f t="shared" ref="E14:E21" si="16">IF($C14="A",B14,"")</f>
        <v/>
      </c>
      <c r="F14">
        <f t="shared" ref="F14:F21" si="17">IF($C14="B",A14,"")</f>
        <v>8</v>
      </c>
      <c r="G14">
        <f t="shared" ref="G14:G21" si="18">IF($C14="B",B14,"")</f>
        <v>8</v>
      </c>
      <c r="H14" t="str">
        <f t="shared" ref="H14:H21" si="19">IF($C14="C",A14,"")</f>
        <v/>
      </c>
      <c r="I14" t="str">
        <f t="shared" ref="I14:I21" si="20">IF($C14="C",B14,"")</f>
        <v/>
      </c>
      <c r="J14">
        <f>F22</f>
        <v>8.5</v>
      </c>
      <c r="K14">
        <f>G22</f>
        <v>4</v>
      </c>
      <c r="L14">
        <f t="shared" ref="L14:L21" si="21">SQRT((A14-D$22)^2+(B14-E$22)^2)</f>
        <v>6.8965571120668612</v>
      </c>
      <c r="M14">
        <f t="shared" ref="M14:M21" si="22">SQRT((A14-F$22)^2+(B14-G$22)^2)</f>
        <v>4.0311288741492746</v>
      </c>
      <c r="N14">
        <f t="shared" ref="N14:N21" si="23">SQRT((A14-H$22)^2+(B14-I$10)^2)</f>
        <v>3.8873012632302002</v>
      </c>
      <c r="O14">
        <f t="shared" ref="O14:O21" si="24">MIN(L14:N14)</f>
        <v>3.8873012632302002</v>
      </c>
      <c r="P14" t="str">
        <f t="shared" ref="P14:P21" si="25">IF(O14=L14,"A",IF(O14=M14,"B","C"))</f>
        <v>C</v>
      </c>
      <c r="Q14">
        <f t="shared" ref="Q14:Q21" si="26">IF(C14=P14,0,1)</f>
        <v>1</v>
      </c>
      <c r="AS14" s="1"/>
    </row>
    <row r="15" spans="1:45">
      <c r="A15">
        <f t="shared" ref="A15:B15" si="27">A3</f>
        <v>4</v>
      </c>
      <c r="B15">
        <f t="shared" si="27"/>
        <v>1</v>
      </c>
      <c r="C15" t="str">
        <f t="shared" si="14"/>
        <v>A</v>
      </c>
      <c r="D15">
        <f t="shared" si="15"/>
        <v>4</v>
      </c>
      <c r="E15">
        <f t="shared" si="16"/>
        <v>1</v>
      </c>
      <c r="F15" t="str">
        <f t="shared" si="17"/>
        <v/>
      </c>
      <c r="G15" t="str">
        <f t="shared" si="18"/>
        <v/>
      </c>
      <c r="H15" t="str">
        <f t="shared" si="19"/>
        <v/>
      </c>
      <c r="I15" t="str">
        <f t="shared" si="20"/>
        <v/>
      </c>
      <c r="J15">
        <f>H22</f>
        <v>6</v>
      </c>
      <c r="K15">
        <f>I22</f>
        <v>8</v>
      </c>
      <c r="L15">
        <f t="shared" si="21"/>
        <v>2.462214450449026</v>
      </c>
      <c r="M15">
        <f t="shared" si="22"/>
        <v>5.4083269131959844</v>
      </c>
      <c r="N15">
        <f t="shared" si="23"/>
        <v>4.1766546953805559</v>
      </c>
      <c r="O15">
        <f t="shared" si="24"/>
        <v>2.462214450449026</v>
      </c>
      <c r="P15" t="str">
        <f t="shared" si="25"/>
        <v>A</v>
      </c>
      <c r="Q15">
        <f t="shared" si="26"/>
        <v>0</v>
      </c>
      <c r="AS15" s="1"/>
    </row>
    <row r="16" spans="1:45">
      <c r="A16">
        <f t="shared" ref="A16:B16" si="28">A4</f>
        <v>6</v>
      </c>
      <c r="B16">
        <f t="shared" si="28"/>
        <v>8</v>
      </c>
      <c r="C16" t="str">
        <f t="shared" si="14"/>
        <v>C</v>
      </c>
      <c r="D16" t="str">
        <f t="shared" si="15"/>
        <v/>
      </c>
      <c r="E16" t="str">
        <f t="shared" si="16"/>
        <v/>
      </c>
      <c r="F16" t="str">
        <f t="shared" si="17"/>
        <v/>
      </c>
      <c r="G16" t="str">
        <f t="shared" si="18"/>
        <v/>
      </c>
      <c r="H16">
        <f t="shared" si="19"/>
        <v>6</v>
      </c>
      <c r="I16">
        <f t="shared" si="20"/>
        <v>8</v>
      </c>
      <c r="L16">
        <f t="shared" si="21"/>
        <v>5.6180512635610578</v>
      </c>
      <c r="M16">
        <f t="shared" si="22"/>
        <v>4.7169905660283016</v>
      </c>
      <c r="N16">
        <f t="shared" si="23"/>
        <v>3.333333333333333</v>
      </c>
      <c r="O16">
        <f t="shared" si="24"/>
        <v>3.333333333333333</v>
      </c>
      <c r="P16" t="str">
        <f t="shared" si="25"/>
        <v>C</v>
      </c>
      <c r="Q16">
        <f t="shared" si="26"/>
        <v>0</v>
      </c>
      <c r="AS16" s="1"/>
    </row>
    <row r="17" spans="1:45">
      <c r="A17">
        <f t="shared" ref="A17:B17" si="29">A5</f>
        <v>10</v>
      </c>
      <c r="B17">
        <f t="shared" si="29"/>
        <v>1</v>
      </c>
      <c r="C17" t="str">
        <f t="shared" si="14"/>
        <v>B</v>
      </c>
      <c r="D17" t="str">
        <f t="shared" si="15"/>
        <v/>
      </c>
      <c r="E17" t="str">
        <f t="shared" si="16"/>
        <v/>
      </c>
      <c r="F17">
        <f t="shared" si="17"/>
        <v>10</v>
      </c>
      <c r="G17">
        <f t="shared" si="18"/>
        <v>1</v>
      </c>
      <c r="H17" t="str">
        <f t="shared" si="19"/>
        <v/>
      </c>
      <c r="I17" t="str">
        <f t="shared" si="20"/>
        <v/>
      </c>
      <c r="L17">
        <f t="shared" si="21"/>
        <v>7.352720584926371</v>
      </c>
      <c r="M17">
        <f t="shared" si="22"/>
        <v>3.3541019662496847</v>
      </c>
      <c r="N17">
        <f t="shared" si="23"/>
        <v>5.4262735320332354</v>
      </c>
      <c r="O17">
        <f t="shared" si="24"/>
        <v>3.3541019662496847</v>
      </c>
      <c r="P17" t="str">
        <f t="shared" si="25"/>
        <v>B</v>
      </c>
      <c r="Q17">
        <f t="shared" si="26"/>
        <v>0</v>
      </c>
      <c r="AS17" s="1"/>
    </row>
    <row r="18" spans="1:45">
      <c r="A18">
        <f t="shared" ref="A18:B18" si="30">A6</f>
        <v>7</v>
      </c>
      <c r="B18">
        <f t="shared" si="30"/>
        <v>2</v>
      </c>
      <c r="C18" t="str">
        <f t="shared" si="14"/>
        <v>B</v>
      </c>
      <c r="D18" t="str">
        <f t="shared" si="15"/>
        <v/>
      </c>
      <c r="E18" t="str">
        <f t="shared" si="16"/>
        <v/>
      </c>
      <c r="F18">
        <f t="shared" si="17"/>
        <v>7</v>
      </c>
      <c r="G18">
        <f t="shared" si="18"/>
        <v>2</v>
      </c>
      <c r="H18" t="str">
        <f t="shared" si="19"/>
        <v/>
      </c>
      <c r="I18" t="str">
        <f t="shared" si="20"/>
        <v/>
      </c>
      <c r="L18">
        <f t="shared" si="21"/>
        <v>4.1907636535600528</v>
      </c>
      <c r="M18">
        <f t="shared" si="22"/>
        <v>2.5</v>
      </c>
      <c r="N18">
        <f t="shared" si="23"/>
        <v>2.8480012484391772</v>
      </c>
      <c r="O18">
        <f t="shared" si="24"/>
        <v>2.5</v>
      </c>
      <c r="P18" t="str">
        <f t="shared" si="25"/>
        <v>B</v>
      </c>
      <c r="Q18">
        <f t="shared" si="26"/>
        <v>0</v>
      </c>
      <c r="AS18" s="1"/>
    </row>
    <row r="19" spans="1:45">
      <c r="A19">
        <f t="shared" ref="A19:B19" si="31">A7</f>
        <v>9</v>
      </c>
      <c r="B19">
        <f t="shared" si="31"/>
        <v>5</v>
      </c>
      <c r="C19" t="str">
        <f t="shared" si="14"/>
        <v>B</v>
      </c>
      <c r="D19" t="str">
        <f t="shared" si="15"/>
        <v/>
      </c>
      <c r="E19" t="str">
        <f t="shared" si="16"/>
        <v/>
      </c>
      <c r="F19">
        <f t="shared" si="17"/>
        <v>9</v>
      </c>
      <c r="G19">
        <f t="shared" si="18"/>
        <v>5</v>
      </c>
      <c r="H19" t="str">
        <f t="shared" si="19"/>
        <v/>
      </c>
      <c r="I19" t="str">
        <f t="shared" si="20"/>
        <v/>
      </c>
      <c r="L19">
        <f t="shared" si="21"/>
        <v>6.25</v>
      </c>
      <c r="M19">
        <f t="shared" si="22"/>
        <v>1.1180339887498949</v>
      </c>
      <c r="N19">
        <f t="shared" si="23"/>
        <v>3.018461712712472</v>
      </c>
      <c r="O19">
        <f t="shared" si="24"/>
        <v>1.1180339887498949</v>
      </c>
      <c r="P19" t="str">
        <f t="shared" si="25"/>
        <v>B</v>
      </c>
      <c r="Q19">
        <f t="shared" si="26"/>
        <v>0</v>
      </c>
      <c r="AS19" s="1"/>
    </row>
    <row r="20" spans="1:45">
      <c r="A20">
        <f t="shared" ref="A20:B20" si="32">A8</f>
        <v>1</v>
      </c>
      <c r="B20">
        <f t="shared" si="32"/>
        <v>5</v>
      </c>
      <c r="C20" t="str">
        <f t="shared" si="14"/>
        <v>A</v>
      </c>
      <c r="D20">
        <f t="shared" si="15"/>
        <v>1</v>
      </c>
      <c r="E20">
        <f t="shared" si="16"/>
        <v>5</v>
      </c>
      <c r="F20" t="str">
        <f t="shared" si="17"/>
        <v/>
      </c>
      <c r="G20" t="str">
        <f t="shared" si="18"/>
        <v/>
      </c>
      <c r="H20" t="str">
        <f t="shared" si="19"/>
        <v/>
      </c>
      <c r="I20" t="str">
        <f t="shared" si="20"/>
        <v/>
      </c>
      <c r="L20">
        <f t="shared" si="21"/>
        <v>2.6575364531836625</v>
      </c>
      <c r="M20">
        <f t="shared" si="22"/>
        <v>7.5663729752107782</v>
      </c>
      <c r="N20">
        <f t="shared" si="23"/>
        <v>5.0110987927909694</v>
      </c>
      <c r="O20">
        <f t="shared" si="24"/>
        <v>2.6575364531836625</v>
      </c>
      <c r="P20" t="str">
        <f t="shared" si="25"/>
        <v>A</v>
      </c>
      <c r="Q20">
        <f t="shared" si="26"/>
        <v>0</v>
      </c>
      <c r="AS20" s="1"/>
    </row>
    <row r="21" spans="1:45">
      <c r="A21">
        <f t="shared" ref="A21:B21" si="33">A9</f>
        <v>5</v>
      </c>
      <c r="B21">
        <f t="shared" si="33"/>
        <v>4</v>
      </c>
      <c r="C21" t="str">
        <f t="shared" si="14"/>
        <v>A</v>
      </c>
      <c r="D21">
        <f t="shared" si="15"/>
        <v>5</v>
      </c>
      <c r="E21">
        <f t="shared" si="16"/>
        <v>4</v>
      </c>
      <c r="F21" t="str">
        <f t="shared" si="17"/>
        <v/>
      </c>
      <c r="G21" t="str">
        <f t="shared" si="18"/>
        <v/>
      </c>
      <c r="H21" t="str">
        <f t="shared" si="19"/>
        <v/>
      </c>
      <c r="I21" t="str">
        <f t="shared" si="20"/>
        <v/>
      </c>
      <c r="L21">
        <f t="shared" si="21"/>
        <v>2.1360009363293826</v>
      </c>
      <c r="M21">
        <f t="shared" si="22"/>
        <v>3.5</v>
      </c>
      <c r="N21">
        <f t="shared" si="23"/>
        <v>1.2018504251546633</v>
      </c>
      <c r="O21">
        <f t="shared" si="24"/>
        <v>1.2018504251546633</v>
      </c>
      <c r="P21" t="str">
        <f t="shared" si="25"/>
        <v>C</v>
      </c>
      <c r="Q21">
        <f t="shared" si="26"/>
        <v>1</v>
      </c>
      <c r="AS21" s="1"/>
    </row>
    <row r="22" spans="1:45">
      <c r="D22">
        <f t="shared" ref="D22:I22" si="34">AVERAGE(D13:D21)</f>
        <v>3</v>
      </c>
      <c r="E22">
        <f t="shared" si="34"/>
        <v>3.25</v>
      </c>
      <c r="F22">
        <f t="shared" si="34"/>
        <v>8.5</v>
      </c>
      <c r="G22">
        <f t="shared" si="34"/>
        <v>4</v>
      </c>
      <c r="H22">
        <f t="shared" si="34"/>
        <v>6</v>
      </c>
      <c r="I22">
        <f t="shared" si="34"/>
        <v>8</v>
      </c>
      <c r="Q22">
        <f>SUM(Q13:Q21)</f>
        <v>2</v>
      </c>
      <c r="AS22" s="1"/>
    </row>
    <row r="23" spans="1:45">
      <c r="AS23" s="1"/>
    </row>
    <row r="24" spans="1:45">
      <c r="AS24" s="1"/>
    </row>
    <row r="25" spans="1:45">
      <c r="AS25" s="1"/>
    </row>
    <row r="26" spans="1:45">
      <c r="AS26" s="1"/>
    </row>
    <row r="27" spans="1:45">
      <c r="AS27" s="1"/>
    </row>
    <row r="32" spans="1:45"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9C692-6B49-4F55-8349-28D71C078E12}">
  <dimension ref="A1:AS34"/>
  <sheetViews>
    <sheetView zoomScale="85" zoomScaleNormal="85" workbookViewId="0">
      <selection activeCell="L25" sqref="L25:N33"/>
    </sheetView>
  </sheetViews>
  <sheetFormatPr defaultRowHeight="18"/>
  <cols>
    <col min="19" max="54" width="3" customWidth="1"/>
  </cols>
  <sheetData>
    <row r="1" spans="1:45">
      <c r="A1">
        <v>2</v>
      </c>
      <c r="B1">
        <v>3</v>
      </c>
      <c r="C1" t="s">
        <v>0</v>
      </c>
      <c r="D1">
        <f>IF($C1="A",A1,"")</f>
        <v>2</v>
      </c>
      <c r="E1">
        <f>IF($C1="A",B1,"")</f>
        <v>3</v>
      </c>
      <c r="F1" t="str">
        <f>IF($C1="B",A1,"")</f>
        <v/>
      </c>
      <c r="G1" t="str">
        <f>IF($C1="B",B1,"")</f>
        <v/>
      </c>
      <c r="H1" t="str">
        <f>IF($C1="C",A1,"")</f>
        <v/>
      </c>
      <c r="I1" t="str">
        <f>IF($C1="C",B1,"")</f>
        <v/>
      </c>
      <c r="J1">
        <f>D10</f>
        <v>4.666666666666667</v>
      </c>
      <c r="K1">
        <f>E10</f>
        <v>4</v>
      </c>
      <c r="L1">
        <f>SQRT((A1-D$10)^2+(B1-E$10)^2)</f>
        <v>2.8480012484391772</v>
      </c>
      <c r="M1">
        <f>SQRT((A1-F$10)^2+(B1-G$10)^2)</f>
        <v>5.7057475895412297</v>
      </c>
      <c r="N1">
        <f>SQRT((A1-H$10)^2+(B1-I$10)^2)</f>
        <v>3.4318767136623336</v>
      </c>
      <c r="O1">
        <f>MIN(L1:N1)</f>
        <v>2.8480012484391772</v>
      </c>
      <c r="P1" t="str">
        <f>IF(O1=L1,"A",IF(O1=M1,"B","C"))</f>
        <v>A</v>
      </c>
      <c r="Q1">
        <f>IF(C1=P1,0,1)</f>
        <v>0</v>
      </c>
    </row>
    <row r="2" spans="1:45">
      <c r="A2">
        <v>8</v>
      </c>
      <c r="B2">
        <v>8</v>
      </c>
      <c r="C2" t="s">
        <v>0</v>
      </c>
      <c r="D2">
        <f t="shared" ref="D2:E9" si="0">IF($C2="A",A2,"")</f>
        <v>8</v>
      </c>
      <c r="E2">
        <f t="shared" si="0"/>
        <v>8</v>
      </c>
      <c r="F2" t="str">
        <f t="shared" ref="F2:G9" si="1">IF($C2="B",A2,"")</f>
        <v/>
      </c>
      <c r="G2" t="str">
        <f t="shared" si="1"/>
        <v/>
      </c>
      <c r="H2" t="str">
        <f t="shared" ref="H2:I9" si="2">IF($C2="C",A2,"")</f>
        <v/>
      </c>
      <c r="I2" t="str">
        <f t="shared" si="2"/>
        <v/>
      </c>
      <c r="J2">
        <f>F10</f>
        <v>7.666666666666667</v>
      </c>
      <c r="K2">
        <f>G10</f>
        <v>3.6666666666666665</v>
      </c>
      <c r="L2">
        <f t="shared" ref="L2:L9" si="3">SQRT((A2-D$10)^2+(B2-E$10)^2)</f>
        <v>5.2068331172711027</v>
      </c>
      <c r="M2">
        <f t="shared" ref="M2:M9" si="4">SQRT((A2-F$10)^2+(B2-G$10)^2)</f>
        <v>4.3461349368017661</v>
      </c>
      <c r="N2">
        <f t="shared" ref="N2:N9" si="5">SQRT((A2-H$10)^2+(B2-I$10)^2)</f>
        <v>4.4845413490245694</v>
      </c>
      <c r="O2">
        <f t="shared" ref="O2:O9" si="6">MIN(L2:N2)</f>
        <v>4.3461349368017661</v>
      </c>
      <c r="P2" t="str">
        <f t="shared" ref="P2:P9" si="7">IF(O2=L2,"A",IF(O2=M2,"B","C"))</f>
        <v>B</v>
      </c>
      <c r="Q2">
        <f t="shared" ref="Q2:Q9" si="8">IF(C2=P2,0,1)</f>
        <v>1</v>
      </c>
    </row>
    <row r="3" spans="1:45">
      <c r="A3">
        <v>4</v>
      </c>
      <c r="B3">
        <v>1</v>
      </c>
      <c r="C3" t="s">
        <v>0</v>
      </c>
      <c r="D3">
        <f t="shared" si="0"/>
        <v>4</v>
      </c>
      <c r="E3">
        <f t="shared" si="0"/>
        <v>1</v>
      </c>
      <c r="F3" t="str">
        <f t="shared" si="1"/>
        <v/>
      </c>
      <c r="G3" t="str">
        <f t="shared" si="1"/>
        <v/>
      </c>
      <c r="H3" t="str">
        <f t="shared" si="2"/>
        <v/>
      </c>
      <c r="I3" t="str">
        <f t="shared" si="2"/>
        <v/>
      </c>
      <c r="J3">
        <f>H10</f>
        <v>5</v>
      </c>
      <c r="K3">
        <f>I10</f>
        <v>4.666666666666667</v>
      </c>
      <c r="L3">
        <f t="shared" si="3"/>
        <v>3.0731814857642958</v>
      </c>
      <c r="M3">
        <f t="shared" si="4"/>
        <v>4.5338235029118144</v>
      </c>
      <c r="N3">
        <f t="shared" si="5"/>
        <v>3.8005847503304602</v>
      </c>
      <c r="O3">
        <f t="shared" si="6"/>
        <v>3.0731814857642958</v>
      </c>
      <c r="P3" t="str">
        <f t="shared" si="7"/>
        <v>A</v>
      </c>
      <c r="Q3">
        <f t="shared" si="8"/>
        <v>0</v>
      </c>
    </row>
    <row r="4" spans="1:45">
      <c r="A4">
        <v>6</v>
      </c>
      <c r="B4">
        <v>8</v>
      </c>
      <c r="C4" t="s">
        <v>2</v>
      </c>
      <c r="D4" t="str">
        <f t="shared" si="0"/>
        <v/>
      </c>
      <c r="E4" t="str">
        <f t="shared" si="0"/>
        <v/>
      </c>
      <c r="F4">
        <f t="shared" si="1"/>
        <v>6</v>
      </c>
      <c r="G4">
        <f t="shared" si="1"/>
        <v>8</v>
      </c>
      <c r="H4" t="str">
        <f t="shared" si="2"/>
        <v/>
      </c>
      <c r="I4" t="str">
        <f t="shared" si="2"/>
        <v/>
      </c>
      <c r="L4">
        <f t="shared" si="3"/>
        <v>4.2163702135578394</v>
      </c>
      <c r="M4">
        <f t="shared" si="4"/>
        <v>4.6427960923947067</v>
      </c>
      <c r="N4">
        <f t="shared" si="5"/>
        <v>3.4801021696368499</v>
      </c>
      <c r="O4">
        <f t="shared" si="6"/>
        <v>3.4801021696368499</v>
      </c>
      <c r="P4" t="str">
        <f t="shared" si="7"/>
        <v>C</v>
      </c>
      <c r="Q4">
        <f t="shared" si="8"/>
        <v>1</v>
      </c>
    </row>
    <row r="5" spans="1:45">
      <c r="A5">
        <v>10</v>
      </c>
      <c r="B5">
        <v>1</v>
      </c>
      <c r="C5" t="s">
        <v>2</v>
      </c>
      <c r="D5" t="str">
        <f t="shared" si="0"/>
        <v/>
      </c>
      <c r="E5" t="str">
        <f t="shared" si="0"/>
        <v/>
      </c>
      <c r="F5">
        <f t="shared" si="1"/>
        <v>10</v>
      </c>
      <c r="G5">
        <f t="shared" si="1"/>
        <v>1</v>
      </c>
      <c r="H5" t="str">
        <f t="shared" si="2"/>
        <v/>
      </c>
      <c r="I5" t="str">
        <f t="shared" si="2"/>
        <v/>
      </c>
      <c r="L5">
        <f t="shared" si="3"/>
        <v>6.1191865835619392</v>
      </c>
      <c r="M5">
        <f t="shared" si="4"/>
        <v>3.5433819375782161</v>
      </c>
      <c r="N5">
        <f t="shared" si="5"/>
        <v>6.2003584125794244</v>
      </c>
      <c r="O5">
        <f t="shared" si="6"/>
        <v>3.5433819375782161</v>
      </c>
      <c r="P5" t="str">
        <f t="shared" si="7"/>
        <v>B</v>
      </c>
      <c r="Q5">
        <f t="shared" si="8"/>
        <v>0</v>
      </c>
    </row>
    <row r="6" spans="1:45">
      <c r="A6">
        <v>7</v>
      </c>
      <c r="B6">
        <v>2</v>
      </c>
      <c r="C6" t="s">
        <v>2</v>
      </c>
      <c r="D6" t="str">
        <f t="shared" si="0"/>
        <v/>
      </c>
      <c r="E6" t="str">
        <f t="shared" si="0"/>
        <v/>
      </c>
      <c r="F6">
        <f t="shared" si="1"/>
        <v>7</v>
      </c>
      <c r="G6">
        <f t="shared" si="1"/>
        <v>2</v>
      </c>
      <c r="H6" t="str">
        <f t="shared" si="2"/>
        <v/>
      </c>
      <c r="I6" t="str">
        <f t="shared" si="2"/>
        <v/>
      </c>
      <c r="L6">
        <f t="shared" si="3"/>
        <v>3.0731814857642954</v>
      </c>
      <c r="M6">
        <f t="shared" si="4"/>
        <v>1.7950549357115013</v>
      </c>
      <c r="N6">
        <f t="shared" si="5"/>
        <v>3.3333333333333335</v>
      </c>
      <c r="O6">
        <f t="shared" si="6"/>
        <v>1.7950549357115013</v>
      </c>
      <c r="P6" t="str">
        <f t="shared" si="7"/>
        <v>B</v>
      </c>
      <c r="Q6">
        <f t="shared" si="8"/>
        <v>0</v>
      </c>
    </row>
    <row r="7" spans="1:45">
      <c r="A7">
        <v>9</v>
      </c>
      <c r="B7">
        <v>5</v>
      </c>
      <c r="C7" t="s">
        <v>4</v>
      </c>
      <c r="D7" t="str">
        <f t="shared" si="0"/>
        <v/>
      </c>
      <c r="E7" t="str">
        <f t="shared" si="0"/>
        <v/>
      </c>
      <c r="F7" t="str">
        <f t="shared" si="1"/>
        <v/>
      </c>
      <c r="G7" t="str">
        <f t="shared" si="1"/>
        <v/>
      </c>
      <c r="H7">
        <f t="shared" si="2"/>
        <v>9</v>
      </c>
      <c r="I7">
        <f t="shared" si="2"/>
        <v>5</v>
      </c>
      <c r="L7">
        <f t="shared" si="3"/>
        <v>4.4472213547087778</v>
      </c>
      <c r="M7">
        <f t="shared" si="4"/>
        <v>1.8856180831641267</v>
      </c>
      <c r="N7">
        <f t="shared" si="5"/>
        <v>4.0138648595974313</v>
      </c>
      <c r="O7">
        <f t="shared" si="6"/>
        <v>1.8856180831641267</v>
      </c>
      <c r="P7" t="str">
        <f t="shared" si="7"/>
        <v>B</v>
      </c>
      <c r="Q7">
        <f t="shared" si="8"/>
        <v>1</v>
      </c>
    </row>
    <row r="8" spans="1:45">
      <c r="A8">
        <v>1</v>
      </c>
      <c r="B8">
        <v>5</v>
      </c>
      <c r="C8" t="s">
        <v>4</v>
      </c>
      <c r="D8" t="str">
        <f t="shared" si="0"/>
        <v/>
      </c>
      <c r="E8" t="str">
        <f t="shared" si="0"/>
        <v/>
      </c>
      <c r="F8" t="str">
        <f t="shared" si="1"/>
        <v/>
      </c>
      <c r="G8" t="str">
        <f t="shared" si="1"/>
        <v/>
      </c>
      <c r="H8">
        <f t="shared" si="2"/>
        <v>1</v>
      </c>
      <c r="I8">
        <f t="shared" si="2"/>
        <v>5</v>
      </c>
      <c r="L8">
        <f t="shared" si="3"/>
        <v>3.8005847503304602</v>
      </c>
      <c r="M8">
        <f t="shared" si="4"/>
        <v>6.7986926847903799</v>
      </c>
      <c r="N8">
        <f t="shared" si="5"/>
        <v>4.0138648595974313</v>
      </c>
      <c r="O8">
        <f t="shared" si="6"/>
        <v>3.8005847503304602</v>
      </c>
      <c r="P8" t="str">
        <f t="shared" si="7"/>
        <v>A</v>
      </c>
      <c r="Q8">
        <f t="shared" si="8"/>
        <v>1</v>
      </c>
    </row>
    <row r="9" spans="1:45">
      <c r="A9">
        <v>5</v>
      </c>
      <c r="B9">
        <v>4</v>
      </c>
      <c r="C9" t="s">
        <v>4</v>
      </c>
      <c r="D9" t="str">
        <f t="shared" si="0"/>
        <v/>
      </c>
      <c r="E9" t="str">
        <f t="shared" si="0"/>
        <v/>
      </c>
      <c r="F9" t="str">
        <f t="shared" si="1"/>
        <v/>
      </c>
      <c r="G9" t="str">
        <f t="shared" si="1"/>
        <v/>
      </c>
      <c r="H9">
        <f t="shared" si="2"/>
        <v>5</v>
      </c>
      <c r="I9">
        <f t="shared" si="2"/>
        <v>4</v>
      </c>
      <c r="L9">
        <f t="shared" si="3"/>
        <v>0.33333333333333304</v>
      </c>
      <c r="M9">
        <f t="shared" si="4"/>
        <v>2.6874192494328502</v>
      </c>
      <c r="N9">
        <f t="shared" si="5"/>
        <v>0.66666666666666696</v>
      </c>
      <c r="O9">
        <f t="shared" si="6"/>
        <v>0.33333333333333304</v>
      </c>
      <c r="P9" t="str">
        <f t="shared" si="7"/>
        <v>A</v>
      </c>
      <c r="Q9">
        <f t="shared" si="8"/>
        <v>1</v>
      </c>
      <c r="AS9" s="1"/>
    </row>
    <row r="10" spans="1:45">
      <c r="D10">
        <f t="shared" ref="D10:I10" si="9">AVERAGE(D1:D9)</f>
        <v>4.666666666666667</v>
      </c>
      <c r="E10">
        <f t="shared" si="9"/>
        <v>4</v>
      </c>
      <c r="F10">
        <f t="shared" si="9"/>
        <v>7.666666666666667</v>
      </c>
      <c r="G10">
        <f t="shared" si="9"/>
        <v>3.6666666666666665</v>
      </c>
      <c r="H10">
        <f t="shared" si="9"/>
        <v>5</v>
      </c>
      <c r="I10">
        <f t="shared" si="9"/>
        <v>4.666666666666667</v>
      </c>
      <c r="Q10">
        <f>SUM(Q1:Q9)</f>
        <v>5</v>
      </c>
      <c r="AS10" s="1"/>
    </row>
    <row r="11" spans="1:45">
      <c r="AS11" s="1"/>
    </row>
    <row r="12" spans="1:45">
      <c r="AS12" s="1"/>
    </row>
    <row r="13" spans="1:45">
      <c r="A13">
        <f>A1</f>
        <v>2</v>
      </c>
      <c r="B13">
        <f>B1</f>
        <v>3</v>
      </c>
      <c r="C13" t="str">
        <f>P1</f>
        <v>A</v>
      </c>
      <c r="D13">
        <f>IF($C13="A",A13,"")</f>
        <v>2</v>
      </c>
      <c r="E13">
        <f>IF($C13="A",B13,"")</f>
        <v>3</v>
      </c>
      <c r="F13" t="str">
        <f>IF($C13="B",A13,"")</f>
        <v/>
      </c>
      <c r="G13" t="str">
        <f>IF($C13="B",B13,"")</f>
        <v/>
      </c>
      <c r="H13" t="str">
        <f>IF($C13="C",A13,"")</f>
        <v/>
      </c>
      <c r="I13" t="str">
        <f>IF($C13="C",B13,"")</f>
        <v/>
      </c>
      <c r="J13">
        <f>D22</f>
        <v>3</v>
      </c>
      <c r="K13">
        <f>E22</f>
        <v>3.25</v>
      </c>
      <c r="L13">
        <f>SQRT((A13-D$22)^2+(B13-E$22)^2)</f>
        <v>1.0307764064044151</v>
      </c>
      <c r="M13">
        <f>SQRT((A13-F$22)^2+(B13-G$22)^2)</f>
        <v>6.5764732189829527</v>
      </c>
      <c r="N13">
        <f>SQRT((A13-H$22)^2+(B13-I$22)^2)</f>
        <v>6.4031242374328485</v>
      </c>
      <c r="O13">
        <f>MIN(L13:N13)</f>
        <v>1.0307764064044151</v>
      </c>
      <c r="P13" t="str">
        <f>IF(O13=L13,"A",IF(O13=M13,"B","C"))</f>
        <v>A</v>
      </c>
      <c r="Q13">
        <f>IF(C13=P13,0,1)</f>
        <v>0</v>
      </c>
      <c r="AS13" s="1"/>
    </row>
    <row r="14" spans="1:45">
      <c r="A14">
        <f t="shared" ref="A14:B21" si="10">A2</f>
        <v>8</v>
      </c>
      <c r="B14">
        <f t="shared" si="10"/>
        <v>8</v>
      </c>
      <c r="C14" t="str">
        <f t="shared" ref="C14:C21" si="11">P2</f>
        <v>B</v>
      </c>
      <c r="D14" t="str">
        <f t="shared" ref="D14:E21" si="12">IF($C14="A",A14,"")</f>
        <v/>
      </c>
      <c r="E14" t="str">
        <f t="shared" si="12"/>
        <v/>
      </c>
      <c r="F14">
        <f t="shared" ref="F14:G21" si="13">IF($C14="B",A14,"")</f>
        <v>8</v>
      </c>
      <c r="G14">
        <f t="shared" si="13"/>
        <v>8</v>
      </c>
      <c r="H14" t="str">
        <f t="shared" ref="H14:I21" si="14">IF($C14="C",A14,"")</f>
        <v/>
      </c>
      <c r="I14" t="str">
        <f t="shared" si="14"/>
        <v/>
      </c>
      <c r="J14">
        <f>F22</f>
        <v>8.5</v>
      </c>
      <c r="K14">
        <f>G22</f>
        <v>4</v>
      </c>
      <c r="L14">
        <f t="shared" ref="L14:L21" si="15">SQRT((A14-D$22)^2+(B14-E$22)^2)</f>
        <v>6.8965571120668612</v>
      </c>
      <c r="M14">
        <f t="shared" ref="M14:M21" si="16">SQRT((A14-F$22)^2+(B14-G$22)^2)</f>
        <v>4.0311288741492746</v>
      </c>
      <c r="N14">
        <f t="shared" ref="N14:N21" si="17">SQRT((A14-H$22)^2+(B14-I$22)^2)</f>
        <v>2</v>
      </c>
      <c r="O14">
        <f t="shared" ref="O14:O21" si="18">MIN(L14:N14)</f>
        <v>2</v>
      </c>
      <c r="P14" t="str">
        <f t="shared" ref="P14:P21" si="19">IF(O14=L14,"A",IF(O14=M14,"B","C"))</f>
        <v>C</v>
      </c>
      <c r="Q14">
        <f t="shared" ref="Q14:Q21" si="20">IF(C14=P14,0,1)</f>
        <v>1</v>
      </c>
      <c r="AS14" s="1"/>
    </row>
    <row r="15" spans="1:45">
      <c r="A15">
        <f t="shared" si="10"/>
        <v>4</v>
      </c>
      <c r="B15">
        <f t="shared" si="10"/>
        <v>1</v>
      </c>
      <c r="C15" t="str">
        <f t="shared" si="11"/>
        <v>A</v>
      </c>
      <c r="D15">
        <f t="shared" si="12"/>
        <v>4</v>
      </c>
      <c r="E15">
        <f t="shared" si="12"/>
        <v>1</v>
      </c>
      <c r="F15" t="str">
        <f t="shared" si="13"/>
        <v/>
      </c>
      <c r="G15" t="str">
        <f t="shared" si="13"/>
        <v/>
      </c>
      <c r="H15" t="str">
        <f t="shared" si="14"/>
        <v/>
      </c>
      <c r="I15" t="str">
        <f t="shared" si="14"/>
        <v/>
      </c>
      <c r="J15">
        <f>H22</f>
        <v>6</v>
      </c>
      <c r="K15">
        <f>I22</f>
        <v>8</v>
      </c>
      <c r="L15">
        <f t="shared" si="15"/>
        <v>2.462214450449026</v>
      </c>
      <c r="M15">
        <f t="shared" si="16"/>
        <v>5.4083269131959844</v>
      </c>
      <c r="N15">
        <f t="shared" si="17"/>
        <v>7.2801098892805181</v>
      </c>
      <c r="O15">
        <f t="shared" si="18"/>
        <v>2.462214450449026</v>
      </c>
      <c r="P15" t="str">
        <f t="shared" si="19"/>
        <v>A</v>
      </c>
      <c r="Q15">
        <f t="shared" si="20"/>
        <v>0</v>
      </c>
      <c r="AS15" s="1"/>
    </row>
    <row r="16" spans="1:45">
      <c r="A16">
        <f t="shared" si="10"/>
        <v>6</v>
      </c>
      <c r="B16">
        <f t="shared" si="10"/>
        <v>8</v>
      </c>
      <c r="C16" t="str">
        <f t="shared" si="11"/>
        <v>C</v>
      </c>
      <c r="D16" t="str">
        <f t="shared" si="12"/>
        <v/>
      </c>
      <c r="E16" t="str">
        <f t="shared" si="12"/>
        <v/>
      </c>
      <c r="F16" t="str">
        <f t="shared" si="13"/>
        <v/>
      </c>
      <c r="G16" t="str">
        <f t="shared" si="13"/>
        <v/>
      </c>
      <c r="H16">
        <f t="shared" si="14"/>
        <v>6</v>
      </c>
      <c r="I16">
        <f t="shared" si="14"/>
        <v>8</v>
      </c>
      <c r="L16">
        <f t="shared" si="15"/>
        <v>5.6180512635610578</v>
      </c>
      <c r="M16">
        <f t="shared" si="16"/>
        <v>4.7169905660283016</v>
      </c>
      <c r="N16">
        <f t="shared" si="17"/>
        <v>0</v>
      </c>
      <c r="O16">
        <f t="shared" si="18"/>
        <v>0</v>
      </c>
      <c r="P16" t="str">
        <f t="shared" si="19"/>
        <v>C</v>
      </c>
      <c r="Q16">
        <f t="shared" si="20"/>
        <v>0</v>
      </c>
      <c r="AS16" s="1"/>
    </row>
    <row r="17" spans="1:45">
      <c r="A17">
        <f t="shared" si="10"/>
        <v>10</v>
      </c>
      <c r="B17">
        <f t="shared" si="10"/>
        <v>1</v>
      </c>
      <c r="C17" t="str">
        <f t="shared" si="11"/>
        <v>B</v>
      </c>
      <c r="D17" t="str">
        <f t="shared" si="12"/>
        <v/>
      </c>
      <c r="E17" t="str">
        <f t="shared" si="12"/>
        <v/>
      </c>
      <c r="F17">
        <f t="shared" si="13"/>
        <v>10</v>
      </c>
      <c r="G17">
        <f t="shared" si="13"/>
        <v>1</v>
      </c>
      <c r="H17" t="str">
        <f t="shared" si="14"/>
        <v/>
      </c>
      <c r="I17" t="str">
        <f t="shared" si="14"/>
        <v/>
      </c>
      <c r="L17">
        <f t="shared" si="15"/>
        <v>7.352720584926371</v>
      </c>
      <c r="M17">
        <f t="shared" si="16"/>
        <v>3.3541019662496847</v>
      </c>
      <c r="N17">
        <f t="shared" si="17"/>
        <v>8.0622577482985491</v>
      </c>
      <c r="O17">
        <f t="shared" si="18"/>
        <v>3.3541019662496847</v>
      </c>
      <c r="P17" t="str">
        <f t="shared" si="19"/>
        <v>B</v>
      </c>
      <c r="Q17">
        <f t="shared" si="20"/>
        <v>0</v>
      </c>
      <c r="AS17" s="1"/>
    </row>
    <row r="18" spans="1:45">
      <c r="A18">
        <f t="shared" si="10"/>
        <v>7</v>
      </c>
      <c r="B18">
        <f t="shared" si="10"/>
        <v>2</v>
      </c>
      <c r="C18" t="str">
        <f t="shared" si="11"/>
        <v>B</v>
      </c>
      <c r="D18" t="str">
        <f t="shared" si="12"/>
        <v/>
      </c>
      <c r="E18" t="str">
        <f t="shared" si="12"/>
        <v/>
      </c>
      <c r="F18">
        <f t="shared" si="13"/>
        <v>7</v>
      </c>
      <c r="G18">
        <f t="shared" si="13"/>
        <v>2</v>
      </c>
      <c r="H18" t="str">
        <f t="shared" si="14"/>
        <v/>
      </c>
      <c r="I18" t="str">
        <f t="shared" si="14"/>
        <v/>
      </c>
      <c r="L18">
        <f t="shared" si="15"/>
        <v>4.1907636535600528</v>
      </c>
      <c r="M18">
        <f t="shared" si="16"/>
        <v>2.5</v>
      </c>
      <c r="N18">
        <f t="shared" si="17"/>
        <v>6.0827625302982193</v>
      </c>
      <c r="O18">
        <f t="shared" si="18"/>
        <v>2.5</v>
      </c>
      <c r="P18" t="str">
        <f t="shared" si="19"/>
        <v>B</v>
      </c>
      <c r="Q18">
        <f t="shared" si="20"/>
        <v>0</v>
      </c>
      <c r="AS18" s="1"/>
    </row>
    <row r="19" spans="1:45">
      <c r="A19">
        <f t="shared" si="10"/>
        <v>9</v>
      </c>
      <c r="B19">
        <f t="shared" si="10"/>
        <v>5</v>
      </c>
      <c r="C19" t="str">
        <f t="shared" si="11"/>
        <v>B</v>
      </c>
      <c r="D19" t="str">
        <f t="shared" si="12"/>
        <v/>
      </c>
      <c r="E19" t="str">
        <f t="shared" si="12"/>
        <v/>
      </c>
      <c r="F19">
        <f t="shared" si="13"/>
        <v>9</v>
      </c>
      <c r="G19">
        <f t="shared" si="13"/>
        <v>5</v>
      </c>
      <c r="H19" t="str">
        <f t="shared" si="14"/>
        <v/>
      </c>
      <c r="I19" t="str">
        <f t="shared" si="14"/>
        <v/>
      </c>
      <c r="L19">
        <f t="shared" si="15"/>
        <v>6.25</v>
      </c>
      <c r="M19">
        <f t="shared" si="16"/>
        <v>1.1180339887498949</v>
      </c>
      <c r="N19">
        <f t="shared" si="17"/>
        <v>4.2426406871192848</v>
      </c>
      <c r="O19">
        <f t="shared" si="18"/>
        <v>1.1180339887498949</v>
      </c>
      <c r="P19" t="str">
        <f t="shared" si="19"/>
        <v>B</v>
      </c>
      <c r="Q19">
        <f t="shared" si="20"/>
        <v>0</v>
      </c>
      <c r="AS19" s="1"/>
    </row>
    <row r="20" spans="1:45">
      <c r="A20">
        <f t="shared" si="10"/>
        <v>1</v>
      </c>
      <c r="B20">
        <f t="shared" si="10"/>
        <v>5</v>
      </c>
      <c r="C20" t="str">
        <f t="shared" si="11"/>
        <v>A</v>
      </c>
      <c r="D20">
        <f t="shared" si="12"/>
        <v>1</v>
      </c>
      <c r="E20">
        <f t="shared" si="12"/>
        <v>5</v>
      </c>
      <c r="F20" t="str">
        <f t="shared" si="13"/>
        <v/>
      </c>
      <c r="G20" t="str">
        <f t="shared" si="13"/>
        <v/>
      </c>
      <c r="H20" t="str">
        <f t="shared" si="14"/>
        <v/>
      </c>
      <c r="I20" t="str">
        <f t="shared" si="14"/>
        <v/>
      </c>
      <c r="L20">
        <f t="shared" si="15"/>
        <v>2.6575364531836625</v>
      </c>
      <c r="M20">
        <f t="shared" si="16"/>
        <v>7.5663729752107782</v>
      </c>
      <c r="N20">
        <f t="shared" si="17"/>
        <v>5.8309518948453007</v>
      </c>
      <c r="O20">
        <f t="shared" si="18"/>
        <v>2.6575364531836625</v>
      </c>
      <c r="P20" t="str">
        <f t="shared" si="19"/>
        <v>A</v>
      </c>
      <c r="Q20">
        <f t="shared" si="20"/>
        <v>0</v>
      </c>
      <c r="AS20" s="1"/>
    </row>
    <row r="21" spans="1:45">
      <c r="A21">
        <f t="shared" si="10"/>
        <v>5</v>
      </c>
      <c r="B21">
        <f t="shared" si="10"/>
        <v>4</v>
      </c>
      <c r="C21" t="str">
        <f t="shared" si="11"/>
        <v>A</v>
      </c>
      <c r="D21">
        <f t="shared" si="12"/>
        <v>5</v>
      </c>
      <c r="E21">
        <f t="shared" si="12"/>
        <v>4</v>
      </c>
      <c r="F21" t="str">
        <f t="shared" si="13"/>
        <v/>
      </c>
      <c r="G21" t="str">
        <f t="shared" si="13"/>
        <v/>
      </c>
      <c r="H21" t="str">
        <f t="shared" si="14"/>
        <v/>
      </c>
      <c r="I21" t="str">
        <f t="shared" si="14"/>
        <v/>
      </c>
      <c r="L21">
        <f t="shared" si="15"/>
        <v>2.1360009363293826</v>
      </c>
      <c r="M21">
        <f t="shared" si="16"/>
        <v>3.5</v>
      </c>
      <c r="N21">
        <f t="shared" si="17"/>
        <v>4.1231056256176606</v>
      </c>
      <c r="O21">
        <f t="shared" si="18"/>
        <v>2.1360009363293826</v>
      </c>
      <c r="P21" t="str">
        <f t="shared" si="19"/>
        <v>A</v>
      </c>
      <c r="Q21">
        <f t="shared" si="20"/>
        <v>0</v>
      </c>
      <c r="AS21" s="1"/>
    </row>
    <row r="22" spans="1:45">
      <c r="D22">
        <f t="shared" ref="D22:I22" si="21">AVERAGE(D13:D21)</f>
        <v>3</v>
      </c>
      <c r="E22">
        <f t="shared" si="21"/>
        <v>3.25</v>
      </c>
      <c r="F22">
        <f t="shared" si="21"/>
        <v>8.5</v>
      </c>
      <c r="G22">
        <f t="shared" si="21"/>
        <v>4</v>
      </c>
      <c r="H22">
        <f t="shared" si="21"/>
        <v>6</v>
      </c>
      <c r="I22">
        <f t="shared" si="21"/>
        <v>8</v>
      </c>
      <c r="Q22">
        <f>SUM(Q13:Q21)</f>
        <v>1</v>
      </c>
      <c r="AS22" s="1"/>
    </row>
    <row r="23" spans="1:45">
      <c r="AS23" s="1"/>
    </row>
    <row r="24" spans="1:45">
      <c r="AS24" s="1"/>
    </row>
    <row r="25" spans="1:45">
      <c r="A25">
        <f>A13</f>
        <v>2</v>
      </c>
      <c r="B25">
        <f>B13</f>
        <v>3</v>
      </c>
      <c r="C25" t="str">
        <f>P13</f>
        <v>A</v>
      </c>
      <c r="D25">
        <f>IF($C25="A",A25,"")</f>
        <v>2</v>
      </c>
      <c r="E25">
        <f>IF($C25="A",B25,"")</f>
        <v>3</v>
      </c>
      <c r="F25" t="str">
        <f>IF($C25="B",A25,"")</f>
        <v/>
      </c>
      <c r="G25" t="str">
        <f>IF($C25="B",B25,"")</f>
        <v/>
      </c>
      <c r="H25" t="str">
        <f>IF($C25="C",A25,"")</f>
        <v/>
      </c>
      <c r="I25" t="str">
        <f>IF($C25="C",B25,"")</f>
        <v/>
      </c>
      <c r="J25">
        <f>D34</f>
        <v>3</v>
      </c>
      <c r="K25">
        <f>E34</f>
        <v>3.25</v>
      </c>
      <c r="L25">
        <f>SQRT((A25-D$34)^2+(B25-E$34)^2)</f>
        <v>1.0307764064044151</v>
      </c>
      <c r="M25">
        <f>SQRT((A25-F$34)^2+(B25-G$34)^2)</f>
        <v>6.674994798166928</v>
      </c>
      <c r="N25">
        <f>SQRT((A25-H$34)^2+(B25-I$34)^2)</f>
        <v>7.0710678118654755</v>
      </c>
      <c r="O25">
        <f>MIN(L25:N25)</f>
        <v>1.0307764064044151</v>
      </c>
      <c r="P25" t="str">
        <f>IF(O25=L25,"A",IF(O25=M25,"B","C"))</f>
        <v>A</v>
      </c>
      <c r="Q25">
        <f>IF(C25=P25,0,1)</f>
        <v>0</v>
      </c>
      <c r="AS25" s="1"/>
    </row>
    <row r="26" spans="1:45">
      <c r="A26">
        <f t="shared" ref="A26:B26" si="22">A14</f>
        <v>8</v>
      </c>
      <c r="B26">
        <f t="shared" si="22"/>
        <v>8</v>
      </c>
      <c r="C26" t="str">
        <f t="shared" ref="C26:C33" si="23">P14</f>
        <v>C</v>
      </c>
      <c r="D26" t="str">
        <f t="shared" ref="D26:D33" si="24">IF($C26="A",A26,"")</f>
        <v/>
      </c>
      <c r="E26" t="str">
        <f t="shared" ref="E26:E33" si="25">IF($C26="A",B26,"")</f>
        <v/>
      </c>
      <c r="F26" t="str">
        <f t="shared" ref="F26:F33" si="26">IF($C26="B",A26,"")</f>
        <v/>
      </c>
      <c r="G26" t="str">
        <f t="shared" ref="G26:G33" si="27">IF($C26="B",B26,"")</f>
        <v/>
      </c>
      <c r="H26">
        <f t="shared" ref="H26:H33" si="28">IF($C26="C",A26,"")</f>
        <v>8</v>
      </c>
      <c r="I26">
        <f t="shared" ref="I26:I33" si="29">IF($C26="C",B26,"")</f>
        <v>8</v>
      </c>
      <c r="J26">
        <f>F34</f>
        <v>8.6666666666666661</v>
      </c>
      <c r="K26">
        <f>G34</f>
        <v>2.6666666666666665</v>
      </c>
      <c r="L26">
        <f t="shared" ref="L26:L33" si="30">SQRT((A26-D$34)^2+(B26-E$34)^2)</f>
        <v>6.8965571120668612</v>
      </c>
      <c r="M26">
        <f t="shared" ref="M26:M33" si="31">SQRT((A26-F$34)^2+(B26-G$34)^2)</f>
        <v>5.3748384988657003</v>
      </c>
      <c r="N26">
        <f t="shared" ref="N26:N33" si="32">SQRT((A26-H$34)^2+(B26-I$34)^2)</f>
        <v>1</v>
      </c>
      <c r="O26">
        <f t="shared" ref="O26:O33" si="33">MIN(L26:N26)</f>
        <v>1</v>
      </c>
      <c r="P26" t="str">
        <f t="shared" ref="P26:P33" si="34">IF(O26=L26,"A",IF(O26=M26,"B","C"))</f>
        <v>C</v>
      </c>
      <c r="Q26">
        <f t="shared" ref="Q26:Q33" si="35">IF(C26=P26,0,1)</f>
        <v>0</v>
      </c>
      <c r="AS26" s="1"/>
    </row>
    <row r="27" spans="1:45">
      <c r="A27">
        <f t="shared" ref="A27:B27" si="36">A15</f>
        <v>4</v>
      </c>
      <c r="B27">
        <f t="shared" si="36"/>
        <v>1</v>
      </c>
      <c r="C27" t="str">
        <f t="shared" si="23"/>
        <v>A</v>
      </c>
      <c r="D27">
        <f t="shared" si="24"/>
        <v>4</v>
      </c>
      <c r="E27">
        <f t="shared" si="25"/>
        <v>1</v>
      </c>
      <c r="F27" t="str">
        <f t="shared" si="26"/>
        <v/>
      </c>
      <c r="G27" t="str">
        <f t="shared" si="27"/>
        <v/>
      </c>
      <c r="H27" t="str">
        <f t="shared" si="28"/>
        <v/>
      </c>
      <c r="I27" t="str">
        <f t="shared" si="29"/>
        <v/>
      </c>
      <c r="J27">
        <f>H34</f>
        <v>7</v>
      </c>
      <c r="K27">
        <f>I34</f>
        <v>8</v>
      </c>
      <c r="L27">
        <f t="shared" si="30"/>
        <v>2.462214450449026</v>
      </c>
      <c r="M27">
        <f t="shared" si="31"/>
        <v>4.9553562491061678</v>
      </c>
      <c r="N27">
        <f t="shared" si="32"/>
        <v>7.6157731058639087</v>
      </c>
      <c r="O27">
        <f t="shared" si="33"/>
        <v>2.462214450449026</v>
      </c>
      <c r="P27" t="str">
        <f t="shared" si="34"/>
        <v>A</v>
      </c>
      <c r="Q27">
        <f t="shared" si="35"/>
        <v>0</v>
      </c>
      <c r="AS27" s="1"/>
    </row>
    <row r="28" spans="1:45">
      <c r="A28">
        <f t="shared" ref="A28:B28" si="37">A16</f>
        <v>6</v>
      </c>
      <c r="B28">
        <f t="shared" si="37"/>
        <v>8</v>
      </c>
      <c r="C28" t="str">
        <f t="shared" si="23"/>
        <v>C</v>
      </c>
      <c r="D28" t="str">
        <f t="shared" si="24"/>
        <v/>
      </c>
      <c r="E28" t="str">
        <f t="shared" si="25"/>
        <v/>
      </c>
      <c r="F28" t="str">
        <f t="shared" si="26"/>
        <v/>
      </c>
      <c r="G28" t="str">
        <f t="shared" si="27"/>
        <v/>
      </c>
      <c r="H28">
        <f t="shared" si="28"/>
        <v>6</v>
      </c>
      <c r="I28">
        <f t="shared" si="29"/>
        <v>8</v>
      </c>
      <c r="L28">
        <f t="shared" si="30"/>
        <v>5.6180512635610578</v>
      </c>
      <c r="M28">
        <f t="shared" si="31"/>
        <v>5.9628479399994392</v>
      </c>
      <c r="N28">
        <f t="shared" si="32"/>
        <v>1</v>
      </c>
      <c r="O28">
        <f t="shared" si="33"/>
        <v>1</v>
      </c>
      <c r="P28" t="str">
        <f t="shared" si="34"/>
        <v>C</v>
      </c>
      <c r="Q28">
        <f t="shared" si="35"/>
        <v>0</v>
      </c>
    </row>
    <row r="29" spans="1:45">
      <c r="A29">
        <f t="shared" ref="A29:B29" si="38">A17</f>
        <v>10</v>
      </c>
      <c r="B29">
        <f t="shared" si="38"/>
        <v>1</v>
      </c>
      <c r="C29" t="str">
        <f t="shared" si="23"/>
        <v>B</v>
      </c>
      <c r="D29" t="str">
        <f t="shared" si="24"/>
        <v/>
      </c>
      <c r="E29" t="str">
        <f t="shared" si="25"/>
        <v/>
      </c>
      <c r="F29">
        <f t="shared" si="26"/>
        <v>10</v>
      </c>
      <c r="G29">
        <f t="shared" si="27"/>
        <v>1</v>
      </c>
      <c r="H29" t="str">
        <f t="shared" si="28"/>
        <v/>
      </c>
      <c r="I29" t="str">
        <f t="shared" si="29"/>
        <v/>
      </c>
      <c r="L29">
        <f t="shared" si="30"/>
        <v>7.352720584926371</v>
      </c>
      <c r="M29">
        <f t="shared" si="31"/>
        <v>2.1343747458109501</v>
      </c>
      <c r="N29">
        <f t="shared" si="32"/>
        <v>7.6157731058639087</v>
      </c>
      <c r="O29">
        <f t="shared" si="33"/>
        <v>2.1343747458109501</v>
      </c>
      <c r="P29" t="str">
        <f t="shared" si="34"/>
        <v>B</v>
      </c>
      <c r="Q29">
        <f t="shared" si="35"/>
        <v>0</v>
      </c>
    </row>
    <row r="30" spans="1:45">
      <c r="A30">
        <f t="shared" ref="A30:B30" si="39">A18</f>
        <v>7</v>
      </c>
      <c r="B30">
        <f t="shared" si="39"/>
        <v>2</v>
      </c>
      <c r="C30" t="str">
        <f t="shared" si="23"/>
        <v>B</v>
      </c>
      <c r="D30" t="str">
        <f t="shared" si="24"/>
        <v/>
      </c>
      <c r="E30" t="str">
        <f t="shared" si="25"/>
        <v/>
      </c>
      <c r="F30">
        <f t="shared" si="26"/>
        <v>7</v>
      </c>
      <c r="G30">
        <f t="shared" si="27"/>
        <v>2</v>
      </c>
      <c r="H30" t="str">
        <f t="shared" si="28"/>
        <v/>
      </c>
      <c r="I30" t="str">
        <f t="shared" si="29"/>
        <v/>
      </c>
      <c r="L30">
        <f t="shared" si="30"/>
        <v>4.1907636535600528</v>
      </c>
      <c r="M30">
        <f t="shared" si="31"/>
        <v>1.7950549357115007</v>
      </c>
      <c r="N30">
        <f t="shared" si="32"/>
        <v>6</v>
      </c>
      <c r="O30">
        <f t="shared" si="33"/>
        <v>1.7950549357115007</v>
      </c>
      <c r="P30" t="str">
        <f t="shared" si="34"/>
        <v>B</v>
      </c>
      <c r="Q30">
        <f t="shared" si="35"/>
        <v>0</v>
      </c>
    </row>
    <row r="31" spans="1:45">
      <c r="A31">
        <f t="shared" ref="A31:B31" si="40">A19</f>
        <v>9</v>
      </c>
      <c r="B31">
        <f t="shared" si="40"/>
        <v>5</v>
      </c>
      <c r="C31" t="str">
        <f t="shared" si="23"/>
        <v>B</v>
      </c>
      <c r="D31" t="str">
        <f t="shared" si="24"/>
        <v/>
      </c>
      <c r="E31" t="str">
        <f t="shared" si="25"/>
        <v/>
      </c>
      <c r="F31">
        <f t="shared" si="26"/>
        <v>9</v>
      </c>
      <c r="G31">
        <f t="shared" si="27"/>
        <v>5</v>
      </c>
      <c r="H31" t="str">
        <f t="shared" si="28"/>
        <v/>
      </c>
      <c r="I31" t="str">
        <f t="shared" si="29"/>
        <v/>
      </c>
      <c r="L31">
        <f t="shared" si="30"/>
        <v>6.25</v>
      </c>
      <c r="M31">
        <f t="shared" si="31"/>
        <v>2.3570226039551589</v>
      </c>
      <c r="N31">
        <f t="shared" si="32"/>
        <v>3.6055512754639891</v>
      </c>
      <c r="O31">
        <f t="shared" si="33"/>
        <v>2.3570226039551589</v>
      </c>
      <c r="P31" t="str">
        <f t="shared" si="34"/>
        <v>B</v>
      </c>
      <c r="Q31">
        <f t="shared" si="35"/>
        <v>0</v>
      </c>
    </row>
    <row r="32" spans="1:45">
      <c r="A32">
        <f t="shared" ref="A32:B32" si="41">A20</f>
        <v>1</v>
      </c>
      <c r="B32">
        <f t="shared" si="41"/>
        <v>5</v>
      </c>
      <c r="C32" t="str">
        <f t="shared" si="23"/>
        <v>A</v>
      </c>
      <c r="D32">
        <f t="shared" si="24"/>
        <v>1</v>
      </c>
      <c r="E32">
        <f t="shared" si="25"/>
        <v>5</v>
      </c>
      <c r="F32" t="str">
        <f t="shared" si="26"/>
        <v/>
      </c>
      <c r="G32" t="str">
        <f t="shared" si="27"/>
        <v/>
      </c>
      <c r="H32" t="str">
        <f t="shared" si="28"/>
        <v/>
      </c>
      <c r="I32" t="str">
        <f t="shared" si="29"/>
        <v/>
      </c>
      <c r="L32">
        <f t="shared" si="30"/>
        <v>2.6575364531836625</v>
      </c>
      <c r="M32">
        <f t="shared" si="31"/>
        <v>8.0138768534475382</v>
      </c>
      <c r="N32">
        <f t="shared" si="32"/>
        <v>6.7082039324993694</v>
      </c>
      <c r="O32">
        <f t="shared" si="33"/>
        <v>2.6575364531836625</v>
      </c>
      <c r="P32" t="str">
        <f t="shared" si="34"/>
        <v>A</v>
      </c>
      <c r="Q32">
        <f t="shared" si="35"/>
        <v>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17">
      <c r="A33">
        <f t="shared" ref="A33:B33" si="42">A21</f>
        <v>5</v>
      </c>
      <c r="B33">
        <f t="shared" si="42"/>
        <v>4</v>
      </c>
      <c r="C33" t="str">
        <f t="shared" si="23"/>
        <v>A</v>
      </c>
      <c r="D33">
        <f t="shared" si="24"/>
        <v>5</v>
      </c>
      <c r="E33">
        <f t="shared" si="25"/>
        <v>4</v>
      </c>
      <c r="F33" t="str">
        <f t="shared" si="26"/>
        <v/>
      </c>
      <c r="G33" t="str">
        <f t="shared" si="27"/>
        <v/>
      </c>
      <c r="H33" t="str">
        <f t="shared" si="28"/>
        <v/>
      </c>
      <c r="I33" t="str">
        <f t="shared" si="29"/>
        <v/>
      </c>
      <c r="L33">
        <f t="shared" si="30"/>
        <v>2.1360009363293826</v>
      </c>
      <c r="M33">
        <f t="shared" si="31"/>
        <v>3.9015666369065412</v>
      </c>
      <c r="N33">
        <f t="shared" si="32"/>
        <v>4.4721359549995796</v>
      </c>
      <c r="O33">
        <f t="shared" si="33"/>
        <v>2.1360009363293826</v>
      </c>
      <c r="P33" t="str">
        <f t="shared" si="34"/>
        <v>A</v>
      </c>
      <c r="Q33">
        <f t="shared" si="35"/>
        <v>0</v>
      </c>
    </row>
    <row r="34" spans="1:17">
      <c r="D34">
        <f t="shared" ref="D34:I34" si="43">AVERAGE(D25:D33)</f>
        <v>3</v>
      </c>
      <c r="E34">
        <f t="shared" si="43"/>
        <v>3.25</v>
      </c>
      <c r="F34">
        <f t="shared" si="43"/>
        <v>8.6666666666666661</v>
      </c>
      <c r="G34">
        <f t="shared" si="43"/>
        <v>2.6666666666666665</v>
      </c>
      <c r="H34">
        <f t="shared" si="43"/>
        <v>7</v>
      </c>
      <c r="I34">
        <f t="shared" si="43"/>
        <v>8</v>
      </c>
      <c r="Q34">
        <f>SUM(Q25:Q33)</f>
        <v>0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5EBF9-7E96-450B-B207-43A1AE35D0C4}">
  <dimension ref="A1:BA34"/>
  <sheetViews>
    <sheetView topLeftCell="A4" zoomScale="85" zoomScaleNormal="85" workbookViewId="0">
      <selection activeCell="BA12" sqref="BA12"/>
    </sheetView>
  </sheetViews>
  <sheetFormatPr defaultRowHeight="18"/>
  <cols>
    <col min="19" max="54" width="3" customWidth="1"/>
  </cols>
  <sheetData>
    <row r="1" spans="1:53">
      <c r="A1">
        <v>2</v>
      </c>
      <c r="B1">
        <v>3</v>
      </c>
      <c r="C1" t="s">
        <v>0</v>
      </c>
      <c r="D1">
        <f>IF($C1="A",A1,"")</f>
        <v>2</v>
      </c>
      <c r="E1">
        <f>IF($C1="A",B1,"")</f>
        <v>3</v>
      </c>
      <c r="F1" t="str">
        <f>IF($C1="B",A1,"")</f>
        <v/>
      </c>
      <c r="G1" t="str">
        <f>IF($C1="B",B1,"")</f>
        <v/>
      </c>
      <c r="H1" t="str">
        <f>IF($C1="C",A1,"")</f>
        <v/>
      </c>
      <c r="I1" t="str">
        <f>IF($C1="C",B1,"")</f>
        <v/>
      </c>
      <c r="J1">
        <f>D10</f>
        <v>4.666666666666667</v>
      </c>
      <c r="K1">
        <f>E10</f>
        <v>4</v>
      </c>
      <c r="L1">
        <f>SQRT((A1-D$10)^2+(B1-E$10)^2)</f>
        <v>2.8480012484391772</v>
      </c>
      <c r="M1">
        <f>SQRT((A1-F$10)^2+(B1-G$10)^2)</f>
        <v>5.7057475895412297</v>
      </c>
      <c r="N1">
        <f>SQRT((A1-H$10)^2+(B1-I$10)^2)</f>
        <v>3.4318767136623336</v>
      </c>
      <c r="O1">
        <f>MIN(L1:N1)</f>
        <v>2.8480012484391772</v>
      </c>
      <c r="P1" t="str">
        <f>IF(O1=L1,"A",IF(O1=M1,"B","C"))</f>
        <v>A</v>
      </c>
      <c r="Q1">
        <f>IF(C1=P1,0,1)</f>
        <v>0</v>
      </c>
    </row>
    <row r="2" spans="1:53">
      <c r="A2">
        <v>8</v>
      </c>
      <c r="B2">
        <v>8</v>
      </c>
      <c r="C2" t="s">
        <v>0</v>
      </c>
      <c r="D2">
        <f t="shared" ref="D2:E9" si="0">IF($C2="A",A2,"")</f>
        <v>8</v>
      </c>
      <c r="E2">
        <f t="shared" si="0"/>
        <v>8</v>
      </c>
      <c r="F2" t="str">
        <f t="shared" ref="F2:G9" si="1">IF($C2="B",A2,"")</f>
        <v/>
      </c>
      <c r="G2" t="str">
        <f t="shared" si="1"/>
        <v/>
      </c>
      <c r="H2" t="str">
        <f t="shared" ref="H2:I9" si="2">IF($C2="C",A2,"")</f>
        <v/>
      </c>
      <c r="I2" t="str">
        <f t="shared" si="2"/>
        <v/>
      </c>
      <c r="J2">
        <f>F10</f>
        <v>7.666666666666667</v>
      </c>
      <c r="K2">
        <f>G10</f>
        <v>3.6666666666666665</v>
      </c>
      <c r="L2">
        <f t="shared" ref="L2:L9" si="3">SQRT((A2-D$10)^2+(B2-E$10)^2)</f>
        <v>5.2068331172711027</v>
      </c>
      <c r="M2">
        <f t="shared" ref="M2:M9" si="4">SQRT((A2-F$10)^2+(B2-G$10)^2)</f>
        <v>4.3461349368017661</v>
      </c>
      <c r="N2">
        <f t="shared" ref="N2:N9" si="5">SQRT((A2-H$10)^2+(B2-I$10)^2)</f>
        <v>4.4845413490245694</v>
      </c>
      <c r="O2">
        <f t="shared" ref="O2:O9" si="6">MIN(L2:N2)</f>
        <v>4.3461349368017661</v>
      </c>
      <c r="P2" t="str">
        <f t="shared" ref="P2:P9" si="7">IF(O2=L2,"A",IF(O2=M2,"B","C"))</f>
        <v>B</v>
      </c>
      <c r="Q2">
        <f t="shared" ref="Q2:Q9" si="8">IF(C2=P2,0,1)</f>
        <v>1</v>
      </c>
    </row>
    <row r="3" spans="1:53">
      <c r="A3">
        <v>4</v>
      </c>
      <c r="B3">
        <v>1</v>
      </c>
      <c r="C3" t="s">
        <v>0</v>
      </c>
      <c r="D3">
        <f t="shared" si="0"/>
        <v>4</v>
      </c>
      <c r="E3">
        <f t="shared" si="0"/>
        <v>1</v>
      </c>
      <c r="F3" t="str">
        <f t="shared" si="1"/>
        <v/>
      </c>
      <c r="G3" t="str">
        <f t="shared" si="1"/>
        <v/>
      </c>
      <c r="H3" t="str">
        <f t="shared" si="2"/>
        <v/>
      </c>
      <c r="I3" t="str">
        <f t="shared" si="2"/>
        <v/>
      </c>
      <c r="J3">
        <f>H10</f>
        <v>5</v>
      </c>
      <c r="K3">
        <f>I10</f>
        <v>4.666666666666667</v>
      </c>
      <c r="L3">
        <f t="shared" si="3"/>
        <v>3.0731814857642958</v>
      </c>
      <c r="M3">
        <f t="shared" si="4"/>
        <v>4.5338235029118144</v>
      </c>
      <c r="N3">
        <f t="shared" si="5"/>
        <v>3.8005847503304602</v>
      </c>
      <c r="O3">
        <f t="shared" si="6"/>
        <v>3.0731814857642958</v>
      </c>
      <c r="P3" t="str">
        <f t="shared" si="7"/>
        <v>A</v>
      </c>
      <c r="Q3">
        <f t="shared" si="8"/>
        <v>0</v>
      </c>
    </row>
    <row r="4" spans="1:53">
      <c r="A4">
        <v>6</v>
      </c>
      <c r="B4">
        <v>8</v>
      </c>
      <c r="C4" t="s">
        <v>2</v>
      </c>
      <c r="D4" t="str">
        <f t="shared" si="0"/>
        <v/>
      </c>
      <c r="E4" t="str">
        <f t="shared" si="0"/>
        <v/>
      </c>
      <c r="F4">
        <f t="shared" si="1"/>
        <v>6</v>
      </c>
      <c r="G4">
        <f t="shared" si="1"/>
        <v>8</v>
      </c>
      <c r="H4" t="str">
        <f t="shared" si="2"/>
        <v/>
      </c>
      <c r="I4" t="str">
        <f t="shared" si="2"/>
        <v/>
      </c>
      <c r="L4">
        <f t="shared" si="3"/>
        <v>4.2163702135578394</v>
      </c>
      <c r="M4">
        <f t="shared" si="4"/>
        <v>4.6427960923947067</v>
      </c>
      <c r="N4">
        <f t="shared" si="5"/>
        <v>3.4801021696368499</v>
      </c>
      <c r="O4">
        <f t="shared" si="6"/>
        <v>3.4801021696368499</v>
      </c>
      <c r="P4" t="str">
        <f t="shared" si="7"/>
        <v>C</v>
      </c>
      <c r="Q4">
        <f t="shared" si="8"/>
        <v>1</v>
      </c>
    </row>
    <row r="5" spans="1:53">
      <c r="A5">
        <v>10</v>
      </c>
      <c r="B5">
        <v>1</v>
      </c>
      <c r="C5" t="s">
        <v>2</v>
      </c>
      <c r="D5" t="str">
        <f t="shared" si="0"/>
        <v/>
      </c>
      <c r="E5" t="str">
        <f t="shared" si="0"/>
        <v/>
      </c>
      <c r="F5">
        <f t="shared" si="1"/>
        <v>10</v>
      </c>
      <c r="G5">
        <f t="shared" si="1"/>
        <v>1</v>
      </c>
      <c r="H5" t="str">
        <f t="shared" si="2"/>
        <v/>
      </c>
      <c r="I5" t="str">
        <f t="shared" si="2"/>
        <v/>
      </c>
      <c r="L5">
        <f t="shared" si="3"/>
        <v>6.1191865835619392</v>
      </c>
      <c r="M5">
        <f t="shared" si="4"/>
        <v>3.5433819375782161</v>
      </c>
      <c r="N5">
        <f t="shared" si="5"/>
        <v>6.2003584125794244</v>
      </c>
      <c r="O5">
        <f t="shared" si="6"/>
        <v>3.5433819375782161</v>
      </c>
      <c r="P5" t="str">
        <f t="shared" si="7"/>
        <v>B</v>
      </c>
      <c r="Q5">
        <f t="shared" si="8"/>
        <v>0</v>
      </c>
    </row>
    <row r="6" spans="1:53">
      <c r="A6">
        <v>7</v>
      </c>
      <c r="B6">
        <v>2</v>
      </c>
      <c r="C6" t="s">
        <v>2</v>
      </c>
      <c r="D6" t="str">
        <f t="shared" si="0"/>
        <v/>
      </c>
      <c r="E6" t="str">
        <f t="shared" si="0"/>
        <v/>
      </c>
      <c r="F6">
        <f t="shared" si="1"/>
        <v>7</v>
      </c>
      <c r="G6">
        <f t="shared" si="1"/>
        <v>2</v>
      </c>
      <c r="H6" t="str">
        <f t="shared" si="2"/>
        <v/>
      </c>
      <c r="I6" t="str">
        <f t="shared" si="2"/>
        <v/>
      </c>
      <c r="L6">
        <f t="shared" si="3"/>
        <v>3.0731814857642954</v>
      </c>
      <c r="M6">
        <f t="shared" si="4"/>
        <v>1.7950549357115013</v>
      </c>
      <c r="N6">
        <f t="shared" si="5"/>
        <v>3.3333333333333335</v>
      </c>
      <c r="O6">
        <f t="shared" si="6"/>
        <v>1.7950549357115013</v>
      </c>
      <c r="P6" t="str">
        <f t="shared" si="7"/>
        <v>B</v>
      </c>
      <c r="Q6">
        <f t="shared" si="8"/>
        <v>0</v>
      </c>
    </row>
    <row r="7" spans="1:53">
      <c r="A7">
        <v>9</v>
      </c>
      <c r="B7">
        <v>5</v>
      </c>
      <c r="C7" t="s">
        <v>4</v>
      </c>
      <c r="D7" t="str">
        <f t="shared" si="0"/>
        <v/>
      </c>
      <c r="E7" t="str">
        <f t="shared" si="0"/>
        <v/>
      </c>
      <c r="F7" t="str">
        <f t="shared" si="1"/>
        <v/>
      </c>
      <c r="G7" t="str">
        <f t="shared" si="1"/>
        <v/>
      </c>
      <c r="H7">
        <f t="shared" si="2"/>
        <v>9</v>
      </c>
      <c r="I7">
        <f t="shared" si="2"/>
        <v>5</v>
      </c>
      <c r="L7">
        <f t="shared" si="3"/>
        <v>4.4472213547087778</v>
      </c>
      <c r="M7">
        <f t="shared" si="4"/>
        <v>1.8856180831641267</v>
      </c>
      <c r="N7">
        <f t="shared" si="5"/>
        <v>4.0138648595974313</v>
      </c>
      <c r="O7">
        <f t="shared" si="6"/>
        <v>1.8856180831641267</v>
      </c>
      <c r="P7" t="str">
        <f t="shared" si="7"/>
        <v>B</v>
      </c>
      <c r="Q7">
        <f t="shared" si="8"/>
        <v>1</v>
      </c>
    </row>
    <row r="8" spans="1:53">
      <c r="A8">
        <v>1</v>
      </c>
      <c r="B8">
        <v>5</v>
      </c>
      <c r="C8" t="s">
        <v>4</v>
      </c>
      <c r="D8" t="str">
        <f t="shared" si="0"/>
        <v/>
      </c>
      <c r="E8" t="str">
        <f t="shared" si="0"/>
        <v/>
      </c>
      <c r="F8" t="str">
        <f t="shared" si="1"/>
        <v/>
      </c>
      <c r="G8" t="str">
        <f t="shared" si="1"/>
        <v/>
      </c>
      <c r="H8">
        <f t="shared" si="2"/>
        <v>1</v>
      </c>
      <c r="I8">
        <f t="shared" si="2"/>
        <v>5</v>
      </c>
      <c r="L8">
        <f t="shared" si="3"/>
        <v>3.8005847503304602</v>
      </c>
      <c r="M8">
        <f t="shared" si="4"/>
        <v>6.7986926847903799</v>
      </c>
      <c r="N8">
        <f t="shared" si="5"/>
        <v>4.0138648595974313</v>
      </c>
      <c r="O8">
        <f t="shared" si="6"/>
        <v>3.8005847503304602</v>
      </c>
      <c r="P8" t="str">
        <f t="shared" si="7"/>
        <v>A</v>
      </c>
      <c r="Q8">
        <f t="shared" si="8"/>
        <v>1</v>
      </c>
    </row>
    <row r="9" spans="1:53">
      <c r="A9">
        <v>5</v>
      </c>
      <c r="B9">
        <v>4</v>
      </c>
      <c r="C9" t="s">
        <v>4</v>
      </c>
      <c r="D9" t="str">
        <f t="shared" si="0"/>
        <v/>
      </c>
      <c r="E9" t="str">
        <f t="shared" si="0"/>
        <v/>
      </c>
      <c r="F9" t="str">
        <f t="shared" si="1"/>
        <v/>
      </c>
      <c r="G9" t="str">
        <f t="shared" si="1"/>
        <v/>
      </c>
      <c r="H9">
        <f t="shared" si="2"/>
        <v>5</v>
      </c>
      <c r="I9">
        <f t="shared" si="2"/>
        <v>4</v>
      </c>
      <c r="L9">
        <f t="shared" si="3"/>
        <v>0.33333333333333304</v>
      </c>
      <c r="M9">
        <f t="shared" si="4"/>
        <v>2.6874192494328502</v>
      </c>
      <c r="N9">
        <f t="shared" si="5"/>
        <v>0.66666666666666696</v>
      </c>
      <c r="O9">
        <f t="shared" si="6"/>
        <v>0.33333333333333304</v>
      </c>
      <c r="P9" t="str">
        <f t="shared" si="7"/>
        <v>A</v>
      </c>
      <c r="Q9">
        <f t="shared" si="8"/>
        <v>1</v>
      </c>
      <c r="AS9" s="1"/>
    </row>
    <row r="10" spans="1:53">
      <c r="D10">
        <f t="shared" ref="D10:I10" si="9">AVERAGE(D1:D9)</f>
        <v>4.666666666666667</v>
      </c>
      <c r="E10">
        <f t="shared" si="9"/>
        <v>4</v>
      </c>
      <c r="F10">
        <f t="shared" si="9"/>
        <v>7.666666666666667</v>
      </c>
      <c r="G10">
        <f t="shared" si="9"/>
        <v>3.6666666666666665</v>
      </c>
      <c r="H10">
        <f t="shared" si="9"/>
        <v>5</v>
      </c>
      <c r="I10">
        <f t="shared" si="9"/>
        <v>4.666666666666667</v>
      </c>
      <c r="Q10">
        <f>SUM(Q1:Q9)</f>
        <v>5</v>
      </c>
      <c r="AS10" s="1"/>
    </row>
    <row r="11" spans="1:53">
      <c r="AS11" s="1"/>
    </row>
    <row r="12" spans="1:53">
      <c r="AS12" s="1"/>
      <c r="BA12" t="s">
        <v>6</v>
      </c>
    </row>
    <row r="13" spans="1:53">
      <c r="A13">
        <f>A1</f>
        <v>2</v>
      </c>
      <c r="B13">
        <f>B1</f>
        <v>3</v>
      </c>
      <c r="C13" t="str">
        <f>P1</f>
        <v>A</v>
      </c>
      <c r="D13">
        <f>IF($C13="A",A13,"")</f>
        <v>2</v>
      </c>
      <c r="E13">
        <f>IF($C13="A",B13,"")</f>
        <v>3</v>
      </c>
      <c r="F13" t="str">
        <f>IF($C13="B",A13,"")</f>
        <v/>
      </c>
      <c r="G13" t="str">
        <f>IF($C13="B",B13,"")</f>
        <v/>
      </c>
      <c r="H13" t="str">
        <f>IF($C13="C",A13,"")</f>
        <v/>
      </c>
      <c r="I13" t="str">
        <f>IF($C13="C",B13,"")</f>
        <v/>
      </c>
      <c r="J13">
        <f>D22</f>
        <v>3</v>
      </c>
      <c r="K13">
        <f>E22</f>
        <v>3.25</v>
      </c>
      <c r="L13">
        <f>SQRT((A13-D$22)^2+(B13-E$22)^2)</f>
        <v>1.0307764064044151</v>
      </c>
      <c r="M13">
        <f>SQRT((A13-F$22)^2+(B13-G$22)^2)</f>
        <v>6.5764732189829527</v>
      </c>
      <c r="N13">
        <f>SQRT((A13-H$22)^2+(B13-I$22)^2)</f>
        <v>6.4031242374328485</v>
      </c>
      <c r="O13">
        <f>MIN(L13:N13)</f>
        <v>1.0307764064044151</v>
      </c>
      <c r="P13" t="str">
        <f>IF(O13=L13,"A",IF(O13=M13,"B","C"))</f>
        <v>A</v>
      </c>
      <c r="Q13">
        <f>IF(C13=P13,0,1)</f>
        <v>0</v>
      </c>
      <c r="AS13" s="1"/>
    </row>
    <row r="14" spans="1:53">
      <c r="A14">
        <f t="shared" ref="A14:B21" si="10">A2</f>
        <v>8</v>
      </c>
      <c r="B14">
        <f t="shared" si="10"/>
        <v>8</v>
      </c>
      <c r="C14" t="str">
        <f t="shared" ref="C14:C21" si="11">P2</f>
        <v>B</v>
      </c>
      <c r="D14" t="str">
        <f t="shared" ref="D14:E21" si="12">IF($C14="A",A14,"")</f>
        <v/>
      </c>
      <c r="E14" t="str">
        <f t="shared" si="12"/>
        <v/>
      </c>
      <c r="F14">
        <f t="shared" ref="F14:G21" si="13">IF($C14="B",A14,"")</f>
        <v>8</v>
      </c>
      <c r="G14">
        <f t="shared" si="13"/>
        <v>8</v>
      </c>
      <c r="H14" t="str">
        <f t="shared" ref="H14:I21" si="14">IF($C14="C",A14,"")</f>
        <v/>
      </c>
      <c r="I14" t="str">
        <f t="shared" si="14"/>
        <v/>
      </c>
      <c r="J14">
        <f>F22</f>
        <v>8.5</v>
      </c>
      <c r="K14">
        <f>G22</f>
        <v>4</v>
      </c>
      <c r="L14">
        <f t="shared" ref="L14:L21" si="15">SQRT((A14-D$22)^2+(B14-E$22)^2)</f>
        <v>6.8965571120668612</v>
      </c>
      <c r="M14">
        <f t="shared" ref="M14:M21" si="16">SQRT((A14-F$22)^2+(B14-G$22)^2)</f>
        <v>4.0311288741492746</v>
      </c>
      <c r="N14">
        <f t="shared" ref="N14:N21" si="17">SQRT((A14-H$22)^2+(B14-I$22)^2)</f>
        <v>2</v>
      </c>
      <c r="O14">
        <f t="shared" ref="O14:O21" si="18">MIN(L14:N14)</f>
        <v>2</v>
      </c>
      <c r="P14" t="str">
        <f t="shared" ref="P14:P21" si="19">IF(O14=L14,"A",IF(O14=M14,"B","C"))</f>
        <v>C</v>
      </c>
      <c r="Q14">
        <f t="shared" ref="Q14:Q21" si="20">IF(C14=P14,0,1)</f>
        <v>1</v>
      </c>
      <c r="AS14" s="1"/>
    </row>
    <row r="15" spans="1:53">
      <c r="A15">
        <f t="shared" si="10"/>
        <v>4</v>
      </c>
      <c r="B15">
        <f t="shared" si="10"/>
        <v>1</v>
      </c>
      <c r="C15" t="str">
        <f t="shared" si="11"/>
        <v>A</v>
      </c>
      <c r="D15">
        <f t="shared" si="12"/>
        <v>4</v>
      </c>
      <c r="E15">
        <f t="shared" si="12"/>
        <v>1</v>
      </c>
      <c r="F15" t="str">
        <f t="shared" si="13"/>
        <v/>
      </c>
      <c r="G15" t="str">
        <f t="shared" si="13"/>
        <v/>
      </c>
      <c r="H15" t="str">
        <f t="shared" si="14"/>
        <v/>
      </c>
      <c r="I15" t="str">
        <f t="shared" si="14"/>
        <v/>
      </c>
      <c r="J15">
        <f>H22</f>
        <v>6</v>
      </c>
      <c r="K15">
        <f>I22</f>
        <v>8</v>
      </c>
      <c r="L15">
        <f t="shared" si="15"/>
        <v>2.462214450449026</v>
      </c>
      <c r="M15">
        <f t="shared" si="16"/>
        <v>5.4083269131959844</v>
      </c>
      <c r="N15">
        <f t="shared" si="17"/>
        <v>7.2801098892805181</v>
      </c>
      <c r="O15">
        <f t="shared" si="18"/>
        <v>2.462214450449026</v>
      </c>
      <c r="P15" t="str">
        <f t="shared" si="19"/>
        <v>A</v>
      </c>
      <c r="Q15">
        <f t="shared" si="20"/>
        <v>0</v>
      </c>
      <c r="AS15" s="1"/>
    </row>
    <row r="16" spans="1:53">
      <c r="A16">
        <f t="shared" si="10"/>
        <v>6</v>
      </c>
      <c r="B16">
        <f t="shared" si="10"/>
        <v>8</v>
      </c>
      <c r="C16" t="str">
        <f t="shared" si="11"/>
        <v>C</v>
      </c>
      <c r="D16" t="str">
        <f t="shared" si="12"/>
        <v/>
      </c>
      <c r="E16" t="str">
        <f t="shared" si="12"/>
        <v/>
      </c>
      <c r="F16" t="str">
        <f t="shared" si="13"/>
        <v/>
      </c>
      <c r="G16" t="str">
        <f t="shared" si="13"/>
        <v/>
      </c>
      <c r="H16">
        <f t="shared" si="14"/>
        <v>6</v>
      </c>
      <c r="I16">
        <f t="shared" si="14"/>
        <v>8</v>
      </c>
      <c r="L16">
        <f t="shared" si="15"/>
        <v>5.6180512635610578</v>
      </c>
      <c r="M16">
        <f t="shared" si="16"/>
        <v>4.7169905660283016</v>
      </c>
      <c r="N16">
        <f t="shared" si="17"/>
        <v>0</v>
      </c>
      <c r="O16">
        <f t="shared" si="18"/>
        <v>0</v>
      </c>
      <c r="P16" t="str">
        <f t="shared" si="19"/>
        <v>C</v>
      </c>
      <c r="Q16">
        <f t="shared" si="20"/>
        <v>0</v>
      </c>
      <c r="AS16" s="1"/>
    </row>
    <row r="17" spans="1:45">
      <c r="A17">
        <f t="shared" si="10"/>
        <v>10</v>
      </c>
      <c r="B17">
        <f t="shared" si="10"/>
        <v>1</v>
      </c>
      <c r="C17" t="str">
        <f t="shared" si="11"/>
        <v>B</v>
      </c>
      <c r="D17" t="str">
        <f t="shared" si="12"/>
        <v/>
      </c>
      <c r="E17" t="str">
        <f t="shared" si="12"/>
        <v/>
      </c>
      <c r="F17">
        <f t="shared" si="13"/>
        <v>10</v>
      </c>
      <c r="G17">
        <f t="shared" si="13"/>
        <v>1</v>
      </c>
      <c r="H17" t="str">
        <f t="shared" si="14"/>
        <v/>
      </c>
      <c r="I17" t="str">
        <f t="shared" si="14"/>
        <v/>
      </c>
      <c r="L17">
        <f t="shared" si="15"/>
        <v>7.352720584926371</v>
      </c>
      <c r="M17">
        <f t="shared" si="16"/>
        <v>3.3541019662496847</v>
      </c>
      <c r="N17">
        <f t="shared" si="17"/>
        <v>8.0622577482985491</v>
      </c>
      <c r="O17">
        <f t="shared" si="18"/>
        <v>3.3541019662496847</v>
      </c>
      <c r="P17" t="str">
        <f t="shared" si="19"/>
        <v>B</v>
      </c>
      <c r="Q17">
        <f t="shared" si="20"/>
        <v>0</v>
      </c>
      <c r="AS17" s="1"/>
    </row>
    <row r="18" spans="1:45">
      <c r="A18">
        <f t="shared" si="10"/>
        <v>7</v>
      </c>
      <c r="B18">
        <f t="shared" si="10"/>
        <v>2</v>
      </c>
      <c r="C18" t="str">
        <f t="shared" si="11"/>
        <v>B</v>
      </c>
      <c r="D18" t="str">
        <f t="shared" si="12"/>
        <v/>
      </c>
      <c r="E18" t="str">
        <f t="shared" si="12"/>
        <v/>
      </c>
      <c r="F18">
        <f t="shared" si="13"/>
        <v>7</v>
      </c>
      <c r="G18">
        <f t="shared" si="13"/>
        <v>2</v>
      </c>
      <c r="H18" t="str">
        <f t="shared" si="14"/>
        <v/>
      </c>
      <c r="I18" t="str">
        <f t="shared" si="14"/>
        <v/>
      </c>
      <c r="L18">
        <f t="shared" si="15"/>
        <v>4.1907636535600528</v>
      </c>
      <c r="M18">
        <f t="shared" si="16"/>
        <v>2.5</v>
      </c>
      <c r="N18">
        <f t="shared" si="17"/>
        <v>6.0827625302982193</v>
      </c>
      <c r="O18">
        <f t="shared" si="18"/>
        <v>2.5</v>
      </c>
      <c r="P18" t="str">
        <f t="shared" si="19"/>
        <v>B</v>
      </c>
      <c r="Q18">
        <f t="shared" si="20"/>
        <v>0</v>
      </c>
      <c r="AS18" s="1"/>
    </row>
    <row r="19" spans="1:45">
      <c r="A19">
        <f t="shared" si="10"/>
        <v>9</v>
      </c>
      <c r="B19">
        <f t="shared" si="10"/>
        <v>5</v>
      </c>
      <c r="C19" t="str">
        <f t="shared" si="11"/>
        <v>B</v>
      </c>
      <c r="D19" t="str">
        <f t="shared" si="12"/>
        <v/>
      </c>
      <c r="E19" t="str">
        <f t="shared" si="12"/>
        <v/>
      </c>
      <c r="F19">
        <f t="shared" si="13"/>
        <v>9</v>
      </c>
      <c r="G19">
        <f t="shared" si="13"/>
        <v>5</v>
      </c>
      <c r="H19" t="str">
        <f t="shared" si="14"/>
        <v/>
      </c>
      <c r="I19" t="str">
        <f t="shared" si="14"/>
        <v/>
      </c>
      <c r="L19">
        <f t="shared" si="15"/>
        <v>6.25</v>
      </c>
      <c r="M19">
        <f t="shared" si="16"/>
        <v>1.1180339887498949</v>
      </c>
      <c r="N19">
        <f t="shared" si="17"/>
        <v>4.2426406871192848</v>
      </c>
      <c r="O19">
        <f t="shared" si="18"/>
        <v>1.1180339887498949</v>
      </c>
      <c r="P19" t="str">
        <f t="shared" si="19"/>
        <v>B</v>
      </c>
      <c r="Q19">
        <f t="shared" si="20"/>
        <v>0</v>
      </c>
      <c r="AS19" s="1"/>
    </row>
    <row r="20" spans="1:45">
      <c r="A20">
        <f t="shared" si="10"/>
        <v>1</v>
      </c>
      <c r="B20">
        <f t="shared" si="10"/>
        <v>5</v>
      </c>
      <c r="C20" t="str">
        <f t="shared" si="11"/>
        <v>A</v>
      </c>
      <c r="D20">
        <f t="shared" si="12"/>
        <v>1</v>
      </c>
      <c r="E20">
        <f t="shared" si="12"/>
        <v>5</v>
      </c>
      <c r="F20" t="str">
        <f t="shared" si="13"/>
        <v/>
      </c>
      <c r="G20" t="str">
        <f t="shared" si="13"/>
        <v/>
      </c>
      <c r="H20" t="str">
        <f t="shared" si="14"/>
        <v/>
      </c>
      <c r="I20" t="str">
        <f t="shared" si="14"/>
        <v/>
      </c>
      <c r="L20">
        <f t="shared" si="15"/>
        <v>2.6575364531836625</v>
      </c>
      <c r="M20">
        <f t="shared" si="16"/>
        <v>7.5663729752107782</v>
      </c>
      <c r="N20">
        <f t="shared" si="17"/>
        <v>5.8309518948453007</v>
      </c>
      <c r="O20">
        <f t="shared" si="18"/>
        <v>2.6575364531836625</v>
      </c>
      <c r="P20" t="str">
        <f t="shared" si="19"/>
        <v>A</v>
      </c>
      <c r="Q20">
        <f t="shared" si="20"/>
        <v>0</v>
      </c>
      <c r="AS20" s="1"/>
    </row>
    <row r="21" spans="1:45">
      <c r="A21">
        <f t="shared" si="10"/>
        <v>5</v>
      </c>
      <c r="B21">
        <f t="shared" si="10"/>
        <v>4</v>
      </c>
      <c r="C21" t="str">
        <f t="shared" si="11"/>
        <v>A</v>
      </c>
      <c r="D21">
        <f t="shared" si="12"/>
        <v>5</v>
      </c>
      <c r="E21">
        <f t="shared" si="12"/>
        <v>4</v>
      </c>
      <c r="F21" t="str">
        <f t="shared" si="13"/>
        <v/>
      </c>
      <c r="G21" t="str">
        <f t="shared" si="13"/>
        <v/>
      </c>
      <c r="H21" t="str">
        <f t="shared" si="14"/>
        <v/>
      </c>
      <c r="I21" t="str">
        <f t="shared" si="14"/>
        <v/>
      </c>
      <c r="L21">
        <f t="shared" si="15"/>
        <v>2.1360009363293826</v>
      </c>
      <c r="M21">
        <f t="shared" si="16"/>
        <v>3.5</v>
      </c>
      <c r="N21">
        <f t="shared" si="17"/>
        <v>4.1231056256176606</v>
      </c>
      <c r="O21">
        <f t="shared" si="18"/>
        <v>2.1360009363293826</v>
      </c>
      <c r="P21" t="str">
        <f t="shared" si="19"/>
        <v>A</v>
      </c>
      <c r="Q21">
        <f t="shared" si="20"/>
        <v>0</v>
      </c>
      <c r="AS21" s="1"/>
    </row>
    <row r="22" spans="1:45">
      <c r="D22">
        <f t="shared" ref="D22:I22" si="21">AVERAGE(D13:D21)</f>
        <v>3</v>
      </c>
      <c r="E22">
        <f t="shared" si="21"/>
        <v>3.25</v>
      </c>
      <c r="F22">
        <f t="shared" si="21"/>
        <v>8.5</v>
      </c>
      <c r="G22">
        <f t="shared" si="21"/>
        <v>4</v>
      </c>
      <c r="H22">
        <f t="shared" si="21"/>
        <v>6</v>
      </c>
      <c r="I22">
        <f t="shared" si="21"/>
        <v>8</v>
      </c>
      <c r="Q22">
        <f>SUM(Q13:Q21)</f>
        <v>1</v>
      </c>
      <c r="AS22" s="1"/>
    </row>
    <row r="23" spans="1:45">
      <c r="AS23" s="1"/>
    </row>
    <row r="24" spans="1:45">
      <c r="AS24" s="1"/>
    </row>
    <row r="25" spans="1:45">
      <c r="A25">
        <f>A13</f>
        <v>2</v>
      </c>
      <c r="B25">
        <f>B13</f>
        <v>3</v>
      </c>
      <c r="C25" t="str">
        <f>P13</f>
        <v>A</v>
      </c>
      <c r="D25">
        <f>IF($C25="A",A25,"")</f>
        <v>2</v>
      </c>
      <c r="E25">
        <f>IF($C25="A",B25,"")</f>
        <v>3</v>
      </c>
      <c r="F25" t="str">
        <f>IF($C25="B",A25,"")</f>
        <v/>
      </c>
      <c r="G25" t="str">
        <f>IF($C25="B",B25,"")</f>
        <v/>
      </c>
      <c r="H25" t="str">
        <f>IF($C25="C",A25,"")</f>
        <v/>
      </c>
      <c r="I25" t="str">
        <f>IF($C25="C",B25,"")</f>
        <v/>
      </c>
      <c r="J25">
        <f>D34</f>
        <v>3</v>
      </c>
      <c r="K25">
        <f>E34</f>
        <v>3.25</v>
      </c>
      <c r="L25">
        <f>SQRT((A25-D$34)^2+(B25-E$34)^2)</f>
        <v>1.0307764064044151</v>
      </c>
      <c r="M25">
        <f>SQRT((A25-F$34)^2+(B25-G$34)^2)</f>
        <v>6.674994798166928</v>
      </c>
      <c r="N25">
        <f>SQRT((A25-H$34)^2+(B25-I$34)^2)</f>
        <v>7.0710678118654755</v>
      </c>
      <c r="O25">
        <f>MIN(L25:N25)</f>
        <v>1.0307764064044151</v>
      </c>
      <c r="P25" t="str">
        <f>IF(O25=L25,"A",IF(O25=M25,"B","C"))</f>
        <v>A</v>
      </c>
      <c r="Q25">
        <f>IF(C25=P25,0,1)</f>
        <v>0</v>
      </c>
      <c r="AS25" s="1"/>
    </row>
    <row r="26" spans="1:45">
      <c r="A26">
        <f t="shared" ref="A26:B33" si="22">A14</f>
        <v>8</v>
      </c>
      <c r="B26">
        <f t="shared" si="22"/>
        <v>8</v>
      </c>
      <c r="C26" t="str">
        <f t="shared" ref="C26:C33" si="23">P14</f>
        <v>C</v>
      </c>
      <c r="D26" t="str">
        <f t="shared" ref="D26:E33" si="24">IF($C26="A",A26,"")</f>
        <v/>
      </c>
      <c r="E26" t="str">
        <f t="shared" si="24"/>
        <v/>
      </c>
      <c r="F26" t="str">
        <f t="shared" ref="F26:G33" si="25">IF($C26="B",A26,"")</f>
        <v/>
      </c>
      <c r="G26" t="str">
        <f t="shared" si="25"/>
        <v/>
      </c>
      <c r="H26">
        <f t="shared" ref="H26:I33" si="26">IF($C26="C",A26,"")</f>
        <v>8</v>
      </c>
      <c r="I26">
        <f t="shared" si="26"/>
        <v>8</v>
      </c>
      <c r="J26">
        <f>F34</f>
        <v>8.6666666666666661</v>
      </c>
      <c r="K26">
        <f>G34</f>
        <v>2.6666666666666665</v>
      </c>
      <c r="L26">
        <f t="shared" ref="L26:L33" si="27">SQRT((A26-D$34)^2+(B26-E$34)^2)</f>
        <v>6.8965571120668612</v>
      </c>
      <c r="M26">
        <f t="shared" ref="M26:M33" si="28">SQRT((A26-F$34)^2+(B26-G$34)^2)</f>
        <v>5.3748384988657003</v>
      </c>
      <c r="N26">
        <f t="shared" ref="N26:N33" si="29">SQRT((A26-H$34)^2+(B26-I$34)^2)</f>
        <v>1</v>
      </c>
      <c r="O26">
        <f t="shared" ref="O26:O33" si="30">MIN(L26:N26)</f>
        <v>1</v>
      </c>
      <c r="P26" t="str">
        <f t="shared" ref="P26:P33" si="31">IF(O26=L26,"A",IF(O26=M26,"B","C"))</f>
        <v>C</v>
      </c>
      <c r="Q26">
        <f t="shared" ref="Q26:Q33" si="32">IF(C26=P26,0,1)</f>
        <v>0</v>
      </c>
      <c r="AS26" s="1"/>
    </row>
    <row r="27" spans="1:45">
      <c r="A27">
        <f t="shared" si="22"/>
        <v>4</v>
      </c>
      <c r="B27">
        <f t="shared" si="22"/>
        <v>1</v>
      </c>
      <c r="C27" t="str">
        <f t="shared" si="23"/>
        <v>A</v>
      </c>
      <c r="D27">
        <f t="shared" si="24"/>
        <v>4</v>
      </c>
      <c r="E27">
        <f t="shared" si="24"/>
        <v>1</v>
      </c>
      <c r="F27" t="str">
        <f t="shared" si="25"/>
        <v/>
      </c>
      <c r="G27" t="str">
        <f t="shared" si="25"/>
        <v/>
      </c>
      <c r="H27" t="str">
        <f t="shared" si="26"/>
        <v/>
      </c>
      <c r="I27" t="str">
        <f t="shared" si="26"/>
        <v/>
      </c>
      <c r="J27">
        <f>H34</f>
        <v>7</v>
      </c>
      <c r="K27">
        <f>I34</f>
        <v>8</v>
      </c>
      <c r="L27">
        <f t="shared" si="27"/>
        <v>2.462214450449026</v>
      </c>
      <c r="M27">
        <f t="shared" si="28"/>
        <v>4.9553562491061678</v>
      </c>
      <c r="N27">
        <f t="shared" si="29"/>
        <v>7.6157731058639087</v>
      </c>
      <c r="O27">
        <f t="shared" si="30"/>
        <v>2.462214450449026</v>
      </c>
      <c r="P27" t="str">
        <f t="shared" si="31"/>
        <v>A</v>
      </c>
      <c r="Q27">
        <f t="shared" si="32"/>
        <v>0</v>
      </c>
      <c r="AS27" s="1"/>
    </row>
    <row r="28" spans="1:45">
      <c r="A28">
        <f t="shared" si="22"/>
        <v>6</v>
      </c>
      <c r="B28">
        <f t="shared" si="22"/>
        <v>8</v>
      </c>
      <c r="C28" t="str">
        <f t="shared" si="23"/>
        <v>C</v>
      </c>
      <c r="D28" t="str">
        <f t="shared" si="24"/>
        <v/>
      </c>
      <c r="E28" t="str">
        <f t="shared" si="24"/>
        <v/>
      </c>
      <c r="F28" t="str">
        <f t="shared" si="25"/>
        <v/>
      </c>
      <c r="G28" t="str">
        <f t="shared" si="25"/>
        <v/>
      </c>
      <c r="H28">
        <f t="shared" si="26"/>
        <v>6</v>
      </c>
      <c r="I28">
        <f t="shared" si="26"/>
        <v>8</v>
      </c>
      <c r="L28">
        <f t="shared" si="27"/>
        <v>5.6180512635610578</v>
      </c>
      <c r="M28">
        <f t="shared" si="28"/>
        <v>5.9628479399994392</v>
      </c>
      <c r="N28">
        <f t="shared" si="29"/>
        <v>1</v>
      </c>
      <c r="O28">
        <f t="shared" si="30"/>
        <v>1</v>
      </c>
      <c r="P28" t="str">
        <f t="shared" si="31"/>
        <v>C</v>
      </c>
      <c r="Q28">
        <f t="shared" si="32"/>
        <v>0</v>
      </c>
    </row>
    <row r="29" spans="1:45">
      <c r="A29">
        <f t="shared" si="22"/>
        <v>10</v>
      </c>
      <c r="B29">
        <f t="shared" si="22"/>
        <v>1</v>
      </c>
      <c r="C29" t="str">
        <f t="shared" si="23"/>
        <v>B</v>
      </c>
      <c r="D29" t="str">
        <f t="shared" si="24"/>
        <v/>
      </c>
      <c r="E29" t="str">
        <f t="shared" si="24"/>
        <v/>
      </c>
      <c r="F29">
        <f t="shared" si="25"/>
        <v>10</v>
      </c>
      <c r="G29">
        <f t="shared" si="25"/>
        <v>1</v>
      </c>
      <c r="H29" t="str">
        <f t="shared" si="26"/>
        <v/>
      </c>
      <c r="I29" t="str">
        <f t="shared" si="26"/>
        <v/>
      </c>
      <c r="L29">
        <f t="shared" si="27"/>
        <v>7.352720584926371</v>
      </c>
      <c r="M29">
        <f t="shared" si="28"/>
        <v>2.1343747458109501</v>
      </c>
      <c r="N29">
        <f t="shared" si="29"/>
        <v>7.6157731058639087</v>
      </c>
      <c r="O29">
        <f t="shared" si="30"/>
        <v>2.1343747458109501</v>
      </c>
      <c r="P29" t="str">
        <f t="shared" si="31"/>
        <v>B</v>
      </c>
      <c r="Q29">
        <f t="shared" si="32"/>
        <v>0</v>
      </c>
    </row>
    <row r="30" spans="1:45">
      <c r="A30">
        <f t="shared" si="22"/>
        <v>7</v>
      </c>
      <c r="B30">
        <f t="shared" si="22"/>
        <v>2</v>
      </c>
      <c r="C30" t="str">
        <f t="shared" si="23"/>
        <v>B</v>
      </c>
      <c r="D30" t="str">
        <f t="shared" si="24"/>
        <v/>
      </c>
      <c r="E30" t="str">
        <f t="shared" si="24"/>
        <v/>
      </c>
      <c r="F30">
        <f t="shared" si="25"/>
        <v>7</v>
      </c>
      <c r="G30">
        <f t="shared" si="25"/>
        <v>2</v>
      </c>
      <c r="H30" t="str">
        <f t="shared" si="26"/>
        <v/>
      </c>
      <c r="I30" t="str">
        <f t="shared" si="26"/>
        <v/>
      </c>
      <c r="L30">
        <f t="shared" si="27"/>
        <v>4.1907636535600528</v>
      </c>
      <c r="M30">
        <f t="shared" si="28"/>
        <v>1.7950549357115007</v>
      </c>
      <c r="N30">
        <f t="shared" si="29"/>
        <v>6</v>
      </c>
      <c r="O30">
        <f t="shared" si="30"/>
        <v>1.7950549357115007</v>
      </c>
      <c r="P30" t="str">
        <f t="shared" si="31"/>
        <v>B</v>
      </c>
      <c r="Q30">
        <f t="shared" si="32"/>
        <v>0</v>
      </c>
    </row>
    <row r="31" spans="1:45">
      <c r="A31">
        <f t="shared" si="22"/>
        <v>9</v>
      </c>
      <c r="B31">
        <f t="shared" si="22"/>
        <v>5</v>
      </c>
      <c r="C31" t="str">
        <f t="shared" si="23"/>
        <v>B</v>
      </c>
      <c r="D31" t="str">
        <f t="shared" si="24"/>
        <v/>
      </c>
      <c r="E31" t="str">
        <f t="shared" si="24"/>
        <v/>
      </c>
      <c r="F31">
        <f t="shared" si="25"/>
        <v>9</v>
      </c>
      <c r="G31">
        <f t="shared" si="25"/>
        <v>5</v>
      </c>
      <c r="H31" t="str">
        <f t="shared" si="26"/>
        <v/>
      </c>
      <c r="I31" t="str">
        <f t="shared" si="26"/>
        <v/>
      </c>
      <c r="L31">
        <f t="shared" si="27"/>
        <v>6.25</v>
      </c>
      <c r="M31">
        <f t="shared" si="28"/>
        <v>2.3570226039551589</v>
      </c>
      <c r="N31">
        <f t="shared" si="29"/>
        <v>3.6055512754639891</v>
      </c>
      <c r="O31">
        <f t="shared" si="30"/>
        <v>2.3570226039551589</v>
      </c>
      <c r="P31" t="str">
        <f t="shared" si="31"/>
        <v>B</v>
      </c>
      <c r="Q31">
        <f t="shared" si="32"/>
        <v>0</v>
      </c>
    </row>
    <row r="32" spans="1:45">
      <c r="A32">
        <f t="shared" si="22"/>
        <v>1</v>
      </c>
      <c r="B32">
        <f t="shared" si="22"/>
        <v>5</v>
      </c>
      <c r="C32" t="str">
        <f t="shared" si="23"/>
        <v>A</v>
      </c>
      <c r="D32">
        <f t="shared" si="24"/>
        <v>1</v>
      </c>
      <c r="E32">
        <f t="shared" si="24"/>
        <v>5</v>
      </c>
      <c r="F32" t="str">
        <f t="shared" si="25"/>
        <v/>
      </c>
      <c r="G32" t="str">
        <f t="shared" si="25"/>
        <v/>
      </c>
      <c r="H32" t="str">
        <f t="shared" si="26"/>
        <v/>
      </c>
      <c r="I32" t="str">
        <f t="shared" si="26"/>
        <v/>
      </c>
      <c r="L32">
        <f t="shared" si="27"/>
        <v>2.6575364531836625</v>
      </c>
      <c r="M32">
        <f t="shared" si="28"/>
        <v>8.0138768534475382</v>
      </c>
      <c r="N32">
        <f t="shared" si="29"/>
        <v>6.7082039324993694</v>
      </c>
      <c r="O32">
        <f t="shared" si="30"/>
        <v>2.6575364531836625</v>
      </c>
      <c r="P32" t="str">
        <f t="shared" si="31"/>
        <v>A</v>
      </c>
      <c r="Q32">
        <f t="shared" si="32"/>
        <v>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17">
      <c r="A33">
        <f t="shared" si="22"/>
        <v>5</v>
      </c>
      <c r="B33">
        <f t="shared" si="22"/>
        <v>4</v>
      </c>
      <c r="C33" t="str">
        <f t="shared" si="23"/>
        <v>A</v>
      </c>
      <c r="D33">
        <f t="shared" si="24"/>
        <v>5</v>
      </c>
      <c r="E33">
        <f t="shared" si="24"/>
        <v>4</v>
      </c>
      <c r="F33" t="str">
        <f t="shared" si="25"/>
        <v/>
      </c>
      <c r="G33" t="str">
        <f t="shared" si="25"/>
        <v/>
      </c>
      <c r="H33" t="str">
        <f t="shared" si="26"/>
        <v/>
      </c>
      <c r="I33" t="str">
        <f t="shared" si="26"/>
        <v/>
      </c>
      <c r="L33">
        <f t="shared" si="27"/>
        <v>2.1360009363293826</v>
      </c>
      <c r="M33">
        <f t="shared" si="28"/>
        <v>3.9015666369065412</v>
      </c>
      <c r="N33">
        <f t="shared" si="29"/>
        <v>4.4721359549995796</v>
      </c>
      <c r="O33">
        <f t="shared" si="30"/>
        <v>2.1360009363293826</v>
      </c>
      <c r="P33" t="str">
        <f t="shared" si="31"/>
        <v>A</v>
      </c>
      <c r="Q33">
        <f t="shared" si="32"/>
        <v>0</v>
      </c>
    </row>
    <row r="34" spans="1:17">
      <c r="D34">
        <f t="shared" ref="D34:I34" si="33">AVERAGE(D25:D33)</f>
        <v>3</v>
      </c>
      <c r="E34">
        <f t="shared" si="33"/>
        <v>3.25</v>
      </c>
      <c r="F34">
        <f t="shared" si="33"/>
        <v>8.6666666666666661</v>
      </c>
      <c r="G34">
        <f t="shared" si="33"/>
        <v>2.6666666666666665</v>
      </c>
      <c r="H34">
        <f t="shared" si="33"/>
        <v>7</v>
      </c>
      <c r="I34">
        <f t="shared" si="33"/>
        <v>8</v>
      </c>
      <c r="Q34">
        <f>SUM(Q25:Q33)</f>
        <v>0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898F-F623-452B-BE78-73B7E813520B}">
  <dimension ref="A1:BA34"/>
  <sheetViews>
    <sheetView zoomScale="85" zoomScaleNormal="85" workbookViewId="0"/>
  </sheetViews>
  <sheetFormatPr defaultRowHeight="18"/>
  <cols>
    <col min="19" max="54" width="3" customWidth="1"/>
  </cols>
  <sheetData>
    <row r="1" spans="1:53">
      <c r="A1">
        <v>2</v>
      </c>
      <c r="B1">
        <v>3</v>
      </c>
      <c r="C1" t="s">
        <v>0</v>
      </c>
      <c r="D1">
        <f>IF($C1="A",A1,"")</f>
        <v>2</v>
      </c>
      <c r="E1">
        <f>IF($C1="A",B1,"")</f>
        <v>3</v>
      </c>
      <c r="F1" t="str">
        <f>IF($C1="B",A1,"")</f>
        <v/>
      </c>
      <c r="G1" t="str">
        <f>IF($C1="B",B1,"")</f>
        <v/>
      </c>
      <c r="H1" t="str">
        <f>IF($C1="C",A1,"")</f>
        <v/>
      </c>
      <c r="I1" t="str">
        <f>IF($C1="C",B1,"")</f>
        <v/>
      </c>
      <c r="J1">
        <f>D10</f>
        <v>4.666666666666667</v>
      </c>
      <c r="K1">
        <f>E10</f>
        <v>4</v>
      </c>
      <c r="L1">
        <f>SQRT((A1-D$10)^2+(B1-E$10)^2)</f>
        <v>2.8480012484391772</v>
      </c>
      <c r="M1">
        <f>SQRT((A1-F$10)^2+(B1-G$10)^2)</f>
        <v>5.7057475895412297</v>
      </c>
      <c r="N1">
        <f>SQRT((A1-H$10)^2+(B1-I$10)^2)</f>
        <v>3.4318767136623336</v>
      </c>
      <c r="O1">
        <f>MIN(L1:N1)</f>
        <v>2.8480012484391772</v>
      </c>
      <c r="P1" t="str">
        <f>IF(O1=L1,"A",IF(O1=M1,"B","C"))</f>
        <v>A</v>
      </c>
      <c r="Q1">
        <f>IF(C1=P1,0,1)</f>
        <v>0</v>
      </c>
    </row>
    <row r="2" spans="1:53">
      <c r="A2">
        <v>8</v>
      </c>
      <c r="B2">
        <v>8</v>
      </c>
      <c r="C2" t="s">
        <v>0</v>
      </c>
      <c r="D2">
        <f t="shared" ref="D2:E9" si="0">IF($C2="A",A2,"")</f>
        <v>8</v>
      </c>
      <c r="E2">
        <f t="shared" si="0"/>
        <v>8</v>
      </c>
      <c r="F2" t="str">
        <f t="shared" ref="F2:G9" si="1">IF($C2="B",A2,"")</f>
        <v/>
      </c>
      <c r="G2" t="str">
        <f t="shared" si="1"/>
        <v/>
      </c>
      <c r="H2" t="str">
        <f t="shared" ref="H2:I9" si="2">IF($C2="C",A2,"")</f>
        <v/>
      </c>
      <c r="I2" t="str">
        <f t="shared" si="2"/>
        <v/>
      </c>
      <c r="J2">
        <f>F10</f>
        <v>7.666666666666667</v>
      </c>
      <c r="K2">
        <f>G10</f>
        <v>3.6666666666666665</v>
      </c>
      <c r="L2">
        <f t="shared" ref="L2:L9" si="3">SQRT((A2-D$10)^2+(B2-E$10)^2)</f>
        <v>5.2068331172711027</v>
      </c>
      <c r="M2">
        <f t="shared" ref="M2:M9" si="4">SQRT((A2-F$10)^2+(B2-G$10)^2)</f>
        <v>4.3461349368017661</v>
      </c>
      <c r="N2">
        <f t="shared" ref="N2:N9" si="5">SQRT((A2-H$10)^2+(B2-I$10)^2)</f>
        <v>4.4845413490245694</v>
      </c>
      <c r="O2">
        <f t="shared" ref="O2:O9" si="6">MIN(L2:N2)</f>
        <v>4.3461349368017661</v>
      </c>
      <c r="P2" t="str">
        <f t="shared" ref="P2:P9" si="7">IF(O2=L2,"A",IF(O2=M2,"B","C"))</f>
        <v>B</v>
      </c>
      <c r="Q2">
        <f t="shared" ref="Q2:Q9" si="8">IF(C2=P2,0,1)</f>
        <v>1</v>
      </c>
    </row>
    <row r="3" spans="1:53">
      <c r="A3">
        <v>4</v>
      </c>
      <c r="B3">
        <v>1</v>
      </c>
      <c r="C3" t="s">
        <v>0</v>
      </c>
      <c r="D3">
        <f t="shared" si="0"/>
        <v>4</v>
      </c>
      <c r="E3">
        <f t="shared" si="0"/>
        <v>1</v>
      </c>
      <c r="F3" t="str">
        <f t="shared" si="1"/>
        <v/>
      </c>
      <c r="G3" t="str">
        <f t="shared" si="1"/>
        <v/>
      </c>
      <c r="H3" t="str">
        <f t="shared" si="2"/>
        <v/>
      </c>
      <c r="I3" t="str">
        <f t="shared" si="2"/>
        <v/>
      </c>
      <c r="J3">
        <f>H10</f>
        <v>5</v>
      </c>
      <c r="K3">
        <f>I10</f>
        <v>4.666666666666667</v>
      </c>
      <c r="L3">
        <f t="shared" si="3"/>
        <v>3.0731814857642958</v>
      </c>
      <c r="M3">
        <f t="shared" si="4"/>
        <v>4.5338235029118144</v>
      </c>
      <c r="N3">
        <f t="shared" si="5"/>
        <v>3.8005847503304602</v>
      </c>
      <c r="O3">
        <f t="shared" si="6"/>
        <v>3.0731814857642958</v>
      </c>
      <c r="P3" t="str">
        <f t="shared" si="7"/>
        <v>A</v>
      </c>
      <c r="Q3">
        <f t="shared" si="8"/>
        <v>0</v>
      </c>
    </row>
    <row r="4" spans="1:53">
      <c r="A4">
        <v>6</v>
      </c>
      <c r="B4">
        <v>8</v>
      </c>
      <c r="C4" t="s">
        <v>2</v>
      </c>
      <c r="D4" t="str">
        <f t="shared" si="0"/>
        <v/>
      </c>
      <c r="E4" t="str">
        <f t="shared" si="0"/>
        <v/>
      </c>
      <c r="F4">
        <f t="shared" si="1"/>
        <v>6</v>
      </c>
      <c r="G4">
        <f t="shared" si="1"/>
        <v>8</v>
      </c>
      <c r="H4" t="str">
        <f t="shared" si="2"/>
        <v/>
      </c>
      <c r="I4" t="str">
        <f t="shared" si="2"/>
        <v/>
      </c>
      <c r="L4">
        <f t="shared" si="3"/>
        <v>4.2163702135578394</v>
      </c>
      <c r="M4">
        <f t="shared" si="4"/>
        <v>4.6427960923947067</v>
      </c>
      <c r="N4">
        <f t="shared" si="5"/>
        <v>3.4801021696368499</v>
      </c>
      <c r="O4">
        <f t="shared" si="6"/>
        <v>3.4801021696368499</v>
      </c>
      <c r="P4" t="str">
        <f t="shared" si="7"/>
        <v>C</v>
      </c>
      <c r="Q4">
        <f t="shared" si="8"/>
        <v>1</v>
      </c>
    </row>
    <row r="5" spans="1:53">
      <c r="A5">
        <v>10</v>
      </c>
      <c r="B5">
        <v>1</v>
      </c>
      <c r="C5" t="s">
        <v>2</v>
      </c>
      <c r="D5" t="str">
        <f t="shared" si="0"/>
        <v/>
      </c>
      <c r="E5" t="str">
        <f t="shared" si="0"/>
        <v/>
      </c>
      <c r="F5">
        <f t="shared" si="1"/>
        <v>10</v>
      </c>
      <c r="G5">
        <f t="shared" si="1"/>
        <v>1</v>
      </c>
      <c r="H5" t="str">
        <f t="shared" si="2"/>
        <v/>
      </c>
      <c r="I5" t="str">
        <f t="shared" si="2"/>
        <v/>
      </c>
      <c r="L5">
        <f t="shared" si="3"/>
        <v>6.1191865835619392</v>
      </c>
      <c r="M5">
        <f t="shared" si="4"/>
        <v>3.5433819375782161</v>
      </c>
      <c r="N5">
        <f t="shared" si="5"/>
        <v>6.2003584125794244</v>
      </c>
      <c r="O5">
        <f t="shared" si="6"/>
        <v>3.5433819375782161</v>
      </c>
      <c r="P5" t="str">
        <f t="shared" si="7"/>
        <v>B</v>
      </c>
      <c r="Q5">
        <f t="shared" si="8"/>
        <v>0</v>
      </c>
    </row>
    <row r="6" spans="1:53">
      <c r="A6">
        <v>7</v>
      </c>
      <c r="B6">
        <v>2</v>
      </c>
      <c r="C6" t="s">
        <v>2</v>
      </c>
      <c r="D6" t="str">
        <f t="shared" si="0"/>
        <v/>
      </c>
      <c r="E6" t="str">
        <f t="shared" si="0"/>
        <v/>
      </c>
      <c r="F6">
        <f t="shared" si="1"/>
        <v>7</v>
      </c>
      <c r="G6">
        <f t="shared" si="1"/>
        <v>2</v>
      </c>
      <c r="H6" t="str">
        <f t="shared" si="2"/>
        <v/>
      </c>
      <c r="I6" t="str">
        <f t="shared" si="2"/>
        <v/>
      </c>
      <c r="L6">
        <f t="shared" si="3"/>
        <v>3.0731814857642954</v>
      </c>
      <c r="M6">
        <f t="shared" si="4"/>
        <v>1.7950549357115013</v>
      </c>
      <c r="N6">
        <f t="shared" si="5"/>
        <v>3.3333333333333335</v>
      </c>
      <c r="O6">
        <f t="shared" si="6"/>
        <v>1.7950549357115013</v>
      </c>
      <c r="P6" t="str">
        <f t="shared" si="7"/>
        <v>B</v>
      </c>
      <c r="Q6">
        <f t="shared" si="8"/>
        <v>0</v>
      </c>
    </row>
    <row r="7" spans="1:53">
      <c r="A7">
        <v>9</v>
      </c>
      <c r="B7">
        <v>5</v>
      </c>
      <c r="C7" t="s">
        <v>4</v>
      </c>
      <c r="D7" t="str">
        <f t="shared" si="0"/>
        <v/>
      </c>
      <c r="E7" t="str">
        <f t="shared" si="0"/>
        <v/>
      </c>
      <c r="F7" t="str">
        <f t="shared" si="1"/>
        <v/>
      </c>
      <c r="G7" t="str">
        <f t="shared" si="1"/>
        <v/>
      </c>
      <c r="H7">
        <f t="shared" si="2"/>
        <v>9</v>
      </c>
      <c r="I7">
        <f t="shared" si="2"/>
        <v>5</v>
      </c>
      <c r="L7">
        <f t="shared" si="3"/>
        <v>4.4472213547087778</v>
      </c>
      <c r="M7">
        <f t="shared" si="4"/>
        <v>1.8856180831641267</v>
      </c>
      <c r="N7">
        <f t="shared" si="5"/>
        <v>4.0138648595974313</v>
      </c>
      <c r="O7">
        <f t="shared" si="6"/>
        <v>1.8856180831641267</v>
      </c>
      <c r="P7" t="str">
        <f t="shared" si="7"/>
        <v>B</v>
      </c>
      <c r="Q7">
        <f t="shared" si="8"/>
        <v>1</v>
      </c>
    </row>
    <row r="8" spans="1:53">
      <c r="A8">
        <v>1</v>
      </c>
      <c r="B8">
        <v>5</v>
      </c>
      <c r="C8" t="s">
        <v>4</v>
      </c>
      <c r="D8" t="str">
        <f t="shared" si="0"/>
        <v/>
      </c>
      <c r="E8" t="str">
        <f t="shared" si="0"/>
        <v/>
      </c>
      <c r="F8" t="str">
        <f t="shared" si="1"/>
        <v/>
      </c>
      <c r="G8" t="str">
        <f t="shared" si="1"/>
        <v/>
      </c>
      <c r="H8">
        <f t="shared" si="2"/>
        <v>1</v>
      </c>
      <c r="I8">
        <f t="shared" si="2"/>
        <v>5</v>
      </c>
      <c r="L8">
        <f t="shared" si="3"/>
        <v>3.8005847503304602</v>
      </c>
      <c r="M8">
        <f t="shared" si="4"/>
        <v>6.7986926847903799</v>
      </c>
      <c r="N8">
        <f t="shared" si="5"/>
        <v>4.0138648595974313</v>
      </c>
      <c r="O8">
        <f t="shared" si="6"/>
        <v>3.8005847503304602</v>
      </c>
      <c r="P8" t="str">
        <f t="shared" si="7"/>
        <v>A</v>
      </c>
      <c r="Q8">
        <f t="shared" si="8"/>
        <v>1</v>
      </c>
    </row>
    <row r="9" spans="1:53">
      <c r="A9">
        <v>5</v>
      </c>
      <c r="B9">
        <v>4</v>
      </c>
      <c r="C9" t="s">
        <v>4</v>
      </c>
      <c r="D9" t="str">
        <f t="shared" si="0"/>
        <v/>
      </c>
      <c r="E9" t="str">
        <f t="shared" si="0"/>
        <v/>
      </c>
      <c r="F9" t="str">
        <f t="shared" si="1"/>
        <v/>
      </c>
      <c r="G9" t="str">
        <f t="shared" si="1"/>
        <v/>
      </c>
      <c r="H9">
        <f t="shared" si="2"/>
        <v>5</v>
      </c>
      <c r="I9">
        <f t="shared" si="2"/>
        <v>4</v>
      </c>
      <c r="L9">
        <f t="shared" si="3"/>
        <v>0.33333333333333304</v>
      </c>
      <c r="M9">
        <f t="shared" si="4"/>
        <v>2.6874192494328502</v>
      </c>
      <c r="N9">
        <f t="shared" si="5"/>
        <v>0.66666666666666696</v>
      </c>
      <c r="O9">
        <f t="shared" si="6"/>
        <v>0.33333333333333304</v>
      </c>
      <c r="P9" t="str">
        <f t="shared" si="7"/>
        <v>A</v>
      </c>
      <c r="Q9">
        <f t="shared" si="8"/>
        <v>1</v>
      </c>
      <c r="AS9" s="1"/>
    </row>
    <row r="10" spans="1:53">
      <c r="D10">
        <f t="shared" ref="D10:I10" si="9">AVERAGE(D1:D9)</f>
        <v>4.666666666666667</v>
      </c>
      <c r="E10">
        <f t="shared" si="9"/>
        <v>4</v>
      </c>
      <c r="F10">
        <f t="shared" si="9"/>
        <v>7.666666666666667</v>
      </c>
      <c r="G10">
        <f t="shared" si="9"/>
        <v>3.6666666666666665</v>
      </c>
      <c r="H10">
        <f t="shared" si="9"/>
        <v>5</v>
      </c>
      <c r="I10">
        <f t="shared" si="9"/>
        <v>4.666666666666667</v>
      </c>
      <c r="Q10">
        <f>SUM(Q1:Q9)</f>
        <v>5</v>
      </c>
      <c r="AS10" s="1"/>
    </row>
    <row r="11" spans="1:53">
      <c r="AS11" s="1"/>
    </row>
    <row r="12" spans="1:53">
      <c r="AS12" s="1"/>
      <c r="BA12" t="s">
        <v>6</v>
      </c>
    </row>
    <row r="13" spans="1:53">
      <c r="A13">
        <f>A1</f>
        <v>2</v>
      </c>
      <c r="B13">
        <f>B1</f>
        <v>3</v>
      </c>
      <c r="C13" t="str">
        <f>P1</f>
        <v>A</v>
      </c>
      <c r="D13">
        <f>IF($C13="A",A13,"")</f>
        <v>2</v>
      </c>
      <c r="E13">
        <f>IF($C13="A",B13,"")</f>
        <v>3</v>
      </c>
      <c r="F13" t="str">
        <f>IF($C13="B",A13,"")</f>
        <v/>
      </c>
      <c r="G13" t="str">
        <f>IF($C13="B",B13,"")</f>
        <v/>
      </c>
      <c r="H13" t="str">
        <f>IF($C13="C",A13,"")</f>
        <v/>
      </c>
      <c r="I13" t="str">
        <f>IF($C13="C",B13,"")</f>
        <v/>
      </c>
      <c r="J13">
        <f>D22</f>
        <v>3</v>
      </c>
      <c r="K13">
        <f>E22</f>
        <v>3.25</v>
      </c>
      <c r="L13">
        <f>SQRT((A13-D$22)^2+(B13-E$22)^2)</f>
        <v>1.0307764064044151</v>
      </c>
      <c r="M13">
        <f>SQRT((A13-F$22)^2+(B13-G$22)^2)</f>
        <v>6.5764732189829527</v>
      </c>
      <c r="N13">
        <f>SQRT((A13-H$22)^2+(B13-I$22)^2)</f>
        <v>6.4031242374328485</v>
      </c>
      <c r="O13">
        <f>MIN(L13:N13)</f>
        <v>1.0307764064044151</v>
      </c>
      <c r="P13" t="str">
        <f>IF(O13=L13,"A",IF(O13=M13,"B","C"))</f>
        <v>A</v>
      </c>
      <c r="Q13">
        <f>IF(C13=P13,0,1)</f>
        <v>0</v>
      </c>
      <c r="AS13" s="1"/>
    </row>
    <row r="14" spans="1:53">
      <c r="A14">
        <f t="shared" ref="A14:B21" si="10">A2</f>
        <v>8</v>
      </c>
      <c r="B14">
        <f t="shared" si="10"/>
        <v>8</v>
      </c>
      <c r="C14" t="str">
        <f t="shared" ref="C14:C21" si="11">P2</f>
        <v>B</v>
      </c>
      <c r="D14" t="str">
        <f t="shared" ref="D14:E21" si="12">IF($C14="A",A14,"")</f>
        <v/>
      </c>
      <c r="E14" t="str">
        <f t="shared" si="12"/>
        <v/>
      </c>
      <c r="F14">
        <f t="shared" ref="F14:G21" si="13">IF($C14="B",A14,"")</f>
        <v>8</v>
      </c>
      <c r="G14">
        <f t="shared" si="13"/>
        <v>8</v>
      </c>
      <c r="H14" t="str">
        <f t="shared" ref="H14:I21" si="14">IF($C14="C",A14,"")</f>
        <v/>
      </c>
      <c r="I14" t="str">
        <f t="shared" si="14"/>
        <v/>
      </c>
      <c r="J14">
        <f>F22</f>
        <v>8.5</v>
      </c>
      <c r="K14">
        <f>G22</f>
        <v>4</v>
      </c>
      <c r="L14">
        <f t="shared" ref="L14:L21" si="15">SQRT((A14-D$22)^2+(B14-E$22)^2)</f>
        <v>6.8965571120668612</v>
      </c>
      <c r="M14">
        <f t="shared" ref="M14:M21" si="16">SQRT((A14-F$22)^2+(B14-G$22)^2)</f>
        <v>4.0311288741492746</v>
      </c>
      <c r="N14">
        <f t="shared" ref="N14:N21" si="17">SQRT((A14-H$22)^2+(B14-I$22)^2)</f>
        <v>2</v>
      </c>
      <c r="O14">
        <f t="shared" ref="O14:O21" si="18">MIN(L14:N14)</f>
        <v>2</v>
      </c>
      <c r="P14" t="str">
        <f t="shared" ref="P14:P21" si="19">IF(O14=L14,"A",IF(O14=M14,"B","C"))</f>
        <v>C</v>
      </c>
      <c r="Q14">
        <f t="shared" ref="Q14:Q21" si="20">IF(C14=P14,0,1)</f>
        <v>1</v>
      </c>
      <c r="AS14" s="1"/>
    </row>
    <row r="15" spans="1:53">
      <c r="A15">
        <f t="shared" si="10"/>
        <v>4</v>
      </c>
      <c r="B15">
        <f t="shared" si="10"/>
        <v>1</v>
      </c>
      <c r="C15" t="str">
        <f t="shared" si="11"/>
        <v>A</v>
      </c>
      <c r="D15">
        <f t="shared" si="12"/>
        <v>4</v>
      </c>
      <c r="E15">
        <f t="shared" si="12"/>
        <v>1</v>
      </c>
      <c r="F15" t="str">
        <f t="shared" si="13"/>
        <v/>
      </c>
      <c r="G15" t="str">
        <f t="shared" si="13"/>
        <v/>
      </c>
      <c r="H15" t="str">
        <f t="shared" si="14"/>
        <v/>
      </c>
      <c r="I15" t="str">
        <f t="shared" si="14"/>
        <v/>
      </c>
      <c r="J15">
        <f>H22</f>
        <v>6</v>
      </c>
      <c r="K15">
        <f>I22</f>
        <v>8</v>
      </c>
      <c r="L15">
        <f t="shared" si="15"/>
        <v>2.462214450449026</v>
      </c>
      <c r="M15">
        <f t="shared" si="16"/>
        <v>5.4083269131959844</v>
      </c>
      <c r="N15">
        <f t="shared" si="17"/>
        <v>7.2801098892805181</v>
      </c>
      <c r="O15">
        <f t="shared" si="18"/>
        <v>2.462214450449026</v>
      </c>
      <c r="P15" t="str">
        <f t="shared" si="19"/>
        <v>A</v>
      </c>
      <c r="Q15">
        <f t="shared" si="20"/>
        <v>0</v>
      </c>
      <c r="AS15" s="1"/>
    </row>
    <row r="16" spans="1:53">
      <c r="A16">
        <f t="shared" si="10"/>
        <v>6</v>
      </c>
      <c r="B16">
        <f t="shared" si="10"/>
        <v>8</v>
      </c>
      <c r="C16" t="str">
        <f t="shared" si="11"/>
        <v>C</v>
      </c>
      <c r="D16" t="str">
        <f t="shared" si="12"/>
        <v/>
      </c>
      <c r="E16" t="str">
        <f t="shared" si="12"/>
        <v/>
      </c>
      <c r="F16" t="str">
        <f t="shared" si="13"/>
        <v/>
      </c>
      <c r="G16" t="str">
        <f t="shared" si="13"/>
        <v/>
      </c>
      <c r="H16">
        <f t="shared" si="14"/>
        <v>6</v>
      </c>
      <c r="I16">
        <f t="shared" si="14"/>
        <v>8</v>
      </c>
      <c r="L16">
        <f t="shared" si="15"/>
        <v>5.6180512635610578</v>
      </c>
      <c r="M16">
        <f t="shared" si="16"/>
        <v>4.7169905660283016</v>
      </c>
      <c r="N16">
        <f t="shared" si="17"/>
        <v>0</v>
      </c>
      <c r="O16">
        <f t="shared" si="18"/>
        <v>0</v>
      </c>
      <c r="P16" t="str">
        <f t="shared" si="19"/>
        <v>C</v>
      </c>
      <c r="Q16">
        <f t="shared" si="20"/>
        <v>0</v>
      </c>
      <c r="AS16" s="1"/>
    </row>
    <row r="17" spans="1:45">
      <c r="A17">
        <f t="shared" si="10"/>
        <v>10</v>
      </c>
      <c r="B17">
        <f t="shared" si="10"/>
        <v>1</v>
      </c>
      <c r="C17" t="str">
        <f t="shared" si="11"/>
        <v>B</v>
      </c>
      <c r="D17" t="str">
        <f t="shared" si="12"/>
        <v/>
      </c>
      <c r="E17" t="str">
        <f t="shared" si="12"/>
        <v/>
      </c>
      <c r="F17">
        <f t="shared" si="13"/>
        <v>10</v>
      </c>
      <c r="G17">
        <f t="shared" si="13"/>
        <v>1</v>
      </c>
      <c r="H17" t="str">
        <f t="shared" si="14"/>
        <v/>
      </c>
      <c r="I17" t="str">
        <f t="shared" si="14"/>
        <v/>
      </c>
      <c r="L17">
        <f t="shared" si="15"/>
        <v>7.352720584926371</v>
      </c>
      <c r="M17">
        <f t="shared" si="16"/>
        <v>3.3541019662496847</v>
      </c>
      <c r="N17">
        <f t="shared" si="17"/>
        <v>8.0622577482985491</v>
      </c>
      <c r="O17">
        <f t="shared" si="18"/>
        <v>3.3541019662496847</v>
      </c>
      <c r="P17" t="str">
        <f t="shared" si="19"/>
        <v>B</v>
      </c>
      <c r="Q17">
        <f t="shared" si="20"/>
        <v>0</v>
      </c>
      <c r="AS17" s="1"/>
    </row>
    <row r="18" spans="1:45">
      <c r="A18">
        <f t="shared" si="10"/>
        <v>7</v>
      </c>
      <c r="B18">
        <f t="shared" si="10"/>
        <v>2</v>
      </c>
      <c r="C18" t="str">
        <f t="shared" si="11"/>
        <v>B</v>
      </c>
      <c r="D18" t="str">
        <f t="shared" si="12"/>
        <v/>
      </c>
      <c r="E18" t="str">
        <f t="shared" si="12"/>
        <v/>
      </c>
      <c r="F18">
        <f t="shared" si="13"/>
        <v>7</v>
      </c>
      <c r="G18">
        <f t="shared" si="13"/>
        <v>2</v>
      </c>
      <c r="H18" t="str">
        <f t="shared" si="14"/>
        <v/>
      </c>
      <c r="I18" t="str">
        <f t="shared" si="14"/>
        <v/>
      </c>
      <c r="L18">
        <f t="shared" si="15"/>
        <v>4.1907636535600528</v>
      </c>
      <c r="M18">
        <f t="shared" si="16"/>
        <v>2.5</v>
      </c>
      <c r="N18">
        <f t="shared" si="17"/>
        <v>6.0827625302982193</v>
      </c>
      <c r="O18">
        <f t="shared" si="18"/>
        <v>2.5</v>
      </c>
      <c r="P18" t="str">
        <f t="shared" si="19"/>
        <v>B</v>
      </c>
      <c r="Q18">
        <f t="shared" si="20"/>
        <v>0</v>
      </c>
      <c r="AS18" s="1"/>
    </row>
    <row r="19" spans="1:45">
      <c r="A19">
        <f t="shared" si="10"/>
        <v>9</v>
      </c>
      <c r="B19">
        <f t="shared" si="10"/>
        <v>5</v>
      </c>
      <c r="C19" t="str">
        <f t="shared" si="11"/>
        <v>B</v>
      </c>
      <c r="D19" t="str">
        <f t="shared" si="12"/>
        <v/>
      </c>
      <c r="E19" t="str">
        <f t="shared" si="12"/>
        <v/>
      </c>
      <c r="F19">
        <f t="shared" si="13"/>
        <v>9</v>
      </c>
      <c r="G19">
        <f t="shared" si="13"/>
        <v>5</v>
      </c>
      <c r="H19" t="str">
        <f t="shared" si="14"/>
        <v/>
      </c>
      <c r="I19" t="str">
        <f t="shared" si="14"/>
        <v/>
      </c>
      <c r="L19">
        <f t="shared" si="15"/>
        <v>6.25</v>
      </c>
      <c r="M19">
        <f t="shared" si="16"/>
        <v>1.1180339887498949</v>
      </c>
      <c r="N19">
        <f t="shared" si="17"/>
        <v>4.2426406871192848</v>
      </c>
      <c r="O19">
        <f t="shared" si="18"/>
        <v>1.1180339887498949</v>
      </c>
      <c r="P19" t="str">
        <f t="shared" si="19"/>
        <v>B</v>
      </c>
      <c r="Q19">
        <f t="shared" si="20"/>
        <v>0</v>
      </c>
      <c r="AS19" s="1"/>
    </row>
    <row r="20" spans="1:45">
      <c r="A20">
        <f t="shared" si="10"/>
        <v>1</v>
      </c>
      <c r="B20">
        <f t="shared" si="10"/>
        <v>5</v>
      </c>
      <c r="C20" t="str">
        <f t="shared" si="11"/>
        <v>A</v>
      </c>
      <c r="D20">
        <f t="shared" si="12"/>
        <v>1</v>
      </c>
      <c r="E20">
        <f t="shared" si="12"/>
        <v>5</v>
      </c>
      <c r="F20" t="str">
        <f t="shared" si="13"/>
        <v/>
      </c>
      <c r="G20" t="str">
        <f t="shared" si="13"/>
        <v/>
      </c>
      <c r="H20" t="str">
        <f t="shared" si="14"/>
        <v/>
      </c>
      <c r="I20" t="str">
        <f t="shared" si="14"/>
        <v/>
      </c>
      <c r="L20">
        <f t="shared" si="15"/>
        <v>2.6575364531836625</v>
      </c>
      <c r="M20">
        <f t="shared" si="16"/>
        <v>7.5663729752107782</v>
      </c>
      <c r="N20">
        <f t="shared" si="17"/>
        <v>5.8309518948453007</v>
      </c>
      <c r="O20">
        <f t="shared" si="18"/>
        <v>2.6575364531836625</v>
      </c>
      <c r="P20" t="str">
        <f t="shared" si="19"/>
        <v>A</v>
      </c>
      <c r="Q20">
        <f t="shared" si="20"/>
        <v>0</v>
      </c>
      <c r="AS20" s="1"/>
    </row>
    <row r="21" spans="1:45">
      <c r="A21">
        <f t="shared" si="10"/>
        <v>5</v>
      </c>
      <c r="B21">
        <f t="shared" si="10"/>
        <v>4</v>
      </c>
      <c r="C21" t="str">
        <f t="shared" si="11"/>
        <v>A</v>
      </c>
      <c r="D21">
        <f t="shared" si="12"/>
        <v>5</v>
      </c>
      <c r="E21">
        <f t="shared" si="12"/>
        <v>4</v>
      </c>
      <c r="F21" t="str">
        <f t="shared" si="13"/>
        <v/>
      </c>
      <c r="G21" t="str">
        <f t="shared" si="13"/>
        <v/>
      </c>
      <c r="H21" t="str">
        <f t="shared" si="14"/>
        <v/>
      </c>
      <c r="I21" t="str">
        <f t="shared" si="14"/>
        <v/>
      </c>
      <c r="L21">
        <f t="shared" si="15"/>
        <v>2.1360009363293826</v>
      </c>
      <c r="M21">
        <f t="shared" si="16"/>
        <v>3.5</v>
      </c>
      <c r="N21">
        <f t="shared" si="17"/>
        <v>4.1231056256176606</v>
      </c>
      <c r="O21">
        <f t="shared" si="18"/>
        <v>2.1360009363293826</v>
      </c>
      <c r="P21" t="str">
        <f t="shared" si="19"/>
        <v>A</v>
      </c>
      <c r="Q21">
        <f t="shared" si="20"/>
        <v>0</v>
      </c>
      <c r="AS21" s="1"/>
    </row>
    <row r="22" spans="1:45">
      <c r="D22">
        <f t="shared" ref="D22:I22" si="21">AVERAGE(D13:D21)</f>
        <v>3</v>
      </c>
      <c r="E22">
        <f t="shared" si="21"/>
        <v>3.25</v>
      </c>
      <c r="F22">
        <f t="shared" si="21"/>
        <v>8.5</v>
      </c>
      <c r="G22">
        <f t="shared" si="21"/>
        <v>4</v>
      </c>
      <c r="H22">
        <f t="shared" si="21"/>
        <v>6</v>
      </c>
      <c r="I22">
        <f t="shared" si="21"/>
        <v>8</v>
      </c>
      <c r="Q22">
        <f>SUM(Q13:Q21)</f>
        <v>1</v>
      </c>
      <c r="AS22" s="1"/>
    </row>
    <row r="23" spans="1:45">
      <c r="AS23" s="1"/>
    </row>
    <row r="24" spans="1:45">
      <c r="AS24" s="1"/>
    </row>
    <row r="25" spans="1:45">
      <c r="A25">
        <f>A13</f>
        <v>2</v>
      </c>
      <c r="B25">
        <f>B13</f>
        <v>3</v>
      </c>
      <c r="C25" t="str">
        <f>P13</f>
        <v>A</v>
      </c>
      <c r="D25">
        <f>IF($C25="A",A25,"")</f>
        <v>2</v>
      </c>
      <c r="E25">
        <f>IF($C25="A",B25,"")</f>
        <v>3</v>
      </c>
      <c r="F25" t="str">
        <f>IF($C25="B",A25,"")</f>
        <v/>
      </c>
      <c r="G25" t="str">
        <f>IF($C25="B",B25,"")</f>
        <v/>
      </c>
      <c r="H25" t="str">
        <f>IF($C25="C",A25,"")</f>
        <v/>
      </c>
      <c r="I25" t="str">
        <f>IF($C25="C",B25,"")</f>
        <v/>
      </c>
      <c r="J25">
        <f>D34</f>
        <v>3</v>
      </c>
      <c r="K25">
        <f>E34</f>
        <v>3.25</v>
      </c>
      <c r="L25">
        <f>SQRT((A25-D$34)^2+(B25-E$34)^2)</f>
        <v>1.0307764064044151</v>
      </c>
      <c r="M25">
        <f>SQRT((A25-F$34)^2+(B25-G$34)^2)</f>
        <v>6.674994798166928</v>
      </c>
      <c r="N25">
        <f>SQRT((A25-H$34)^2+(B25-I$34)^2)</f>
        <v>7.0710678118654755</v>
      </c>
      <c r="O25">
        <f>MIN(L25:N25)</f>
        <v>1.0307764064044151</v>
      </c>
      <c r="P25" t="str">
        <f>IF(O25=L25,"A",IF(O25=M25,"B","C"))</f>
        <v>A</v>
      </c>
      <c r="Q25">
        <f>IF(C25=P25,0,1)</f>
        <v>0</v>
      </c>
      <c r="AS25" s="1"/>
    </row>
    <row r="26" spans="1:45">
      <c r="A26">
        <f t="shared" ref="A26:B33" si="22">A14</f>
        <v>8</v>
      </c>
      <c r="B26">
        <f t="shared" si="22"/>
        <v>8</v>
      </c>
      <c r="C26" t="str">
        <f t="shared" ref="C26:C33" si="23">P14</f>
        <v>C</v>
      </c>
      <c r="D26" t="str">
        <f t="shared" ref="D26:E33" si="24">IF($C26="A",A26,"")</f>
        <v/>
      </c>
      <c r="E26" t="str">
        <f t="shared" si="24"/>
        <v/>
      </c>
      <c r="F26" t="str">
        <f t="shared" ref="F26:G33" si="25">IF($C26="B",A26,"")</f>
        <v/>
      </c>
      <c r="G26" t="str">
        <f t="shared" si="25"/>
        <v/>
      </c>
      <c r="H26">
        <f t="shared" ref="H26:I33" si="26">IF($C26="C",A26,"")</f>
        <v>8</v>
      </c>
      <c r="I26">
        <f t="shared" si="26"/>
        <v>8</v>
      </c>
      <c r="J26">
        <f>F34</f>
        <v>8.6666666666666661</v>
      </c>
      <c r="K26">
        <f>G34</f>
        <v>2.6666666666666665</v>
      </c>
      <c r="L26">
        <f t="shared" ref="L26:L33" si="27">SQRT((A26-D$34)^2+(B26-E$34)^2)</f>
        <v>6.8965571120668612</v>
      </c>
      <c r="M26">
        <f t="shared" ref="M26:M33" si="28">SQRT((A26-F$34)^2+(B26-G$34)^2)</f>
        <v>5.3748384988657003</v>
      </c>
      <c r="N26">
        <f t="shared" ref="N26:N33" si="29">SQRT((A26-H$34)^2+(B26-I$34)^2)</f>
        <v>1</v>
      </c>
      <c r="O26">
        <f t="shared" ref="O26:O33" si="30">MIN(L26:N26)</f>
        <v>1</v>
      </c>
      <c r="P26" t="str">
        <f t="shared" ref="P26:P33" si="31">IF(O26=L26,"A",IF(O26=M26,"B","C"))</f>
        <v>C</v>
      </c>
      <c r="Q26">
        <f t="shared" ref="Q26:Q33" si="32">IF(C26=P26,0,1)</f>
        <v>0</v>
      </c>
      <c r="AS26" s="1"/>
    </row>
    <row r="27" spans="1:45">
      <c r="A27">
        <f t="shared" si="22"/>
        <v>4</v>
      </c>
      <c r="B27">
        <f t="shared" si="22"/>
        <v>1</v>
      </c>
      <c r="C27" t="str">
        <f t="shared" si="23"/>
        <v>A</v>
      </c>
      <c r="D27">
        <f t="shared" si="24"/>
        <v>4</v>
      </c>
      <c r="E27">
        <f t="shared" si="24"/>
        <v>1</v>
      </c>
      <c r="F27" t="str">
        <f t="shared" si="25"/>
        <v/>
      </c>
      <c r="G27" t="str">
        <f t="shared" si="25"/>
        <v/>
      </c>
      <c r="H27" t="str">
        <f t="shared" si="26"/>
        <v/>
      </c>
      <c r="I27" t="str">
        <f t="shared" si="26"/>
        <v/>
      </c>
      <c r="J27">
        <f>H34</f>
        <v>7</v>
      </c>
      <c r="K27">
        <f>I34</f>
        <v>8</v>
      </c>
      <c r="L27">
        <f t="shared" si="27"/>
        <v>2.462214450449026</v>
      </c>
      <c r="M27">
        <f t="shared" si="28"/>
        <v>4.9553562491061678</v>
      </c>
      <c r="N27">
        <f t="shared" si="29"/>
        <v>7.6157731058639087</v>
      </c>
      <c r="O27">
        <f t="shared" si="30"/>
        <v>2.462214450449026</v>
      </c>
      <c r="P27" t="str">
        <f t="shared" si="31"/>
        <v>A</v>
      </c>
      <c r="Q27">
        <f t="shared" si="32"/>
        <v>0</v>
      </c>
      <c r="AS27" s="1"/>
    </row>
    <row r="28" spans="1:45">
      <c r="A28">
        <f t="shared" si="22"/>
        <v>6</v>
      </c>
      <c r="B28">
        <f t="shared" si="22"/>
        <v>8</v>
      </c>
      <c r="C28" t="str">
        <f t="shared" si="23"/>
        <v>C</v>
      </c>
      <c r="D28" t="str">
        <f t="shared" si="24"/>
        <v/>
      </c>
      <c r="E28" t="str">
        <f t="shared" si="24"/>
        <v/>
      </c>
      <c r="F28" t="str">
        <f t="shared" si="25"/>
        <v/>
      </c>
      <c r="G28" t="str">
        <f t="shared" si="25"/>
        <v/>
      </c>
      <c r="H28">
        <f t="shared" si="26"/>
        <v>6</v>
      </c>
      <c r="I28">
        <f t="shared" si="26"/>
        <v>8</v>
      </c>
      <c r="L28">
        <f t="shared" si="27"/>
        <v>5.6180512635610578</v>
      </c>
      <c r="M28">
        <f t="shared" si="28"/>
        <v>5.9628479399994392</v>
      </c>
      <c r="N28">
        <f t="shared" si="29"/>
        <v>1</v>
      </c>
      <c r="O28">
        <f t="shared" si="30"/>
        <v>1</v>
      </c>
      <c r="P28" t="str">
        <f t="shared" si="31"/>
        <v>C</v>
      </c>
      <c r="Q28">
        <f t="shared" si="32"/>
        <v>0</v>
      </c>
    </row>
    <row r="29" spans="1:45">
      <c r="A29">
        <f t="shared" si="22"/>
        <v>10</v>
      </c>
      <c r="B29">
        <f t="shared" si="22"/>
        <v>1</v>
      </c>
      <c r="C29" t="str">
        <f t="shared" si="23"/>
        <v>B</v>
      </c>
      <c r="D29" t="str">
        <f t="shared" si="24"/>
        <v/>
      </c>
      <c r="E29" t="str">
        <f t="shared" si="24"/>
        <v/>
      </c>
      <c r="F29">
        <f t="shared" si="25"/>
        <v>10</v>
      </c>
      <c r="G29">
        <f t="shared" si="25"/>
        <v>1</v>
      </c>
      <c r="H29" t="str">
        <f t="shared" si="26"/>
        <v/>
      </c>
      <c r="I29" t="str">
        <f t="shared" si="26"/>
        <v/>
      </c>
      <c r="L29">
        <f t="shared" si="27"/>
        <v>7.352720584926371</v>
      </c>
      <c r="M29">
        <f t="shared" si="28"/>
        <v>2.1343747458109501</v>
      </c>
      <c r="N29">
        <f t="shared" si="29"/>
        <v>7.6157731058639087</v>
      </c>
      <c r="O29">
        <f t="shared" si="30"/>
        <v>2.1343747458109501</v>
      </c>
      <c r="P29" t="str">
        <f t="shared" si="31"/>
        <v>B</v>
      </c>
      <c r="Q29">
        <f t="shared" si="32"/>
        <v>0</v>
      </c>
    </row>
    <row r="30" spans="1:45">
      <c r="A30">
        <f t="shared" si="22"/>
        <v>7</v>
      </c>
      <c r="B30">
        <f t="shared" si="22"/>
        <v>2</v>
      </c>
      <c r="C30" t="str">
        <f t="shared" si="23"/>
        <v>B</v>
      </c>
      <c r="D30" t="str">
        <f t="shared" si="24"/>
        <v/>
      </c>
      <c r="E30" t="str">
        <f t="shared" si="24"/>
        <v/>
      </c>
      <c r="F30">
        <f t="shared" si="25"/>
        <v>7</v>
      </c>
      <c r="G30">
        <f t="shared" si="25"/>
        <v>2</v>
      </c>
      <c r="H30" t="str">
        <f t="shared" si="26"/>
        <v/>
      </c>
      <c r="I30" t="str">
        <f t="shared" si="26"/>
        <v/>
      </c>
      <c r="L30">
        <f t="shared" si="27"/>
        <v>4.1907636535600528</v>
      </c>
      <c r="M30">
        <f t="shared" si="28"/>
        <v>1.7950549357115007</v>
      </c>
      <c r="N30">
        <f t="shared" si="29"/>
        <v>6</v>
      </c>
      <c r="O30">
        <f t="shared" si="30"/>
        <v>1.7950549357115007</v>
      </c>
      <c r="P30" t="str">
        <f t="shared" si="31"/>
        <v>B</v>
      </c>
      <c r="Q30">
        <f t="shared" si="32"/>
        <v>0</v>
      </c>
    </row>
    <row r="31" spans="1:45">
      <c r="A31">
        <f t="shared" si="22"/>
        <v>9</v>
      </c>
      <c r="B31">
        <f t="shared" si="22"/>
        <v>5</v>
      </c>
      <c r="C31" t="str">
        <f t="shared" si="23"/>
        <v>B</v>
      </c>
      <c r="D31" t="str">
        <f t="shared" si="24"/>
        <v/>
      </c>
      <c r="E31" t="str">
        <f t="shared" si="24"/>
        <v/>
      </c>
      <c r="F31">
        <f t="shared" si="25"/>
        <v>9</v>
      </c>
      <c r="G31">
        <f t="shared" si="25"/>
        <v>5</v>
      </c>
      <c r="H31" t="str">
        <f t="shared" si="26"/>
        <v/>
      </c>
      <c r="I31" t="str">
        <f t="shared" si="26"/>
        <v/>
      </c>
      <c r="L31">
        <f t="shared" si="27"/>
        <v>6.25</v>
      </c>
      <c r="M31">
        <f t="shared" si="28"/>
        <v>2.3570226039551589</v>
      </c>
      <c r="N31">
        <f t="shared" si="29"/>
        <v>3.6055512754639891</v>
      </c>
      <c r="O31">
        <f t="shared" si="30"/>
        <v>2.3570226039551589</v>
      </c>
      <c r="P31" t="str">
        <f t="shared" si="31"/>
        <v>B</v>
      </c>
      <c r="Q31">
        <f t="shared" si="32"/>
        <v>0</v>
      </c>
    </row>
    <row r="32" spans="1:45">
      <c r="A32">
        <f t="shared" si="22"/>
        <v>1</v>
      </c>
      <c r="B32">
        <f t="shared" si="22"/>
        <v>5</v>
      </c>
      <c r="C32" t="str">
        <f t="shared" si="23"/>
        <v>A</v>
      </c>
      <c r="D32">
        <f t="shared" si="24"/>
        <v>1</v>
      </c>
      <c r="E32">
        <f t="shared" si="24"/>
        <v>5</v>
      </c>
      <c r="F32" t="str">
        <f t="shared" si="25"/>
        <v/>
      </c>
      <c r="G32" t="str">
        <f t="shared" si="25"/>
        <v/>
      </c>
      <c r="H32" t="str">
        <f t="shared" si="26"/>
        <v/>
      </c>
      <c r="I32" t="str">
        <f t="shared" si="26"/>
        <v/>
      </c>
      <c r="L32">
        <f t="shared" si="27"/>
        <v>2.6575364531836625</v>
      </c>
      <c r="M32">
        <f t="shared" si="28"/>
        <v>8.0138768534475382</v>
      </c>
      <c r="N32">
        <f t="shared" si="29"/>
        <v>6.7082039324993694</v>
      </c>
      <c r="O32">
        <f t="shared" si="30"/>
        <v>2.6575364531836625</v>
      </c>
      <c r="P32" t="str">
        <f t="shared" si="31"/>
        <v>A</v>
      </c>
      <c r="Q32">
        <f t="shared" si="32"/>
        <v>0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17">
      <c r="A33">
        <f t="shared" si="22"/>
        <v>5</v>
      </c>
      <c r="B33">
        <f t="shared" si="22"/>
        <v>4</v>
      </c>
      <c r="C33" t="str">
        <f t="shared" si="23"/>
        <v>A</v>
      </c>
      <c r="D33">
        <f t="shared" si="24"/>
        <v>5</v>
      </c>
      <c r="E33">
        <f t="shared" si="24"/>
        <v>4</v>
      </c>
      <c r="F33" t="str">
        <f t="shared" si="25"/>
        <v/>
      </c>
      <c r="G33" t="str">
        <f t="shared" si="25"/>
        <v/>
      </c>
      <c r="H33" t="str">
        <f t="shared" si="26"/>
        <v/>
      </c>
      <c r="I33" t="str">
        <f t="shared" si="26"/>
        <v/>
      </c>
      <c r="L33">
        <f t="shared" si="27"/>
        <v>2.1360009363293826</v>
      </c>
      <c r="M33">
        <f t="shared" si="28"/>
        <v>3.9015666369065412</v>
      </c>
      <c r="N33">
        <f t="shared" si="29"/>
        <v>4.4721359549995796</v>
      </c>
      <c r="O33">
        <f t="shared" si="30"/>
        <v>2.1360009363293826</v>
      </c>
      <c r="P33" t="str">
        <f t="shared" si="31"/>
        <v>A</v>
      </c>
      <c r="Q33">
        <f t="shared" si="32"/>
        <v>0</v>
      </c>
    </row>
    <row r="34" spans="1:17">
      <c r="D34">
        <f t="shared" ref="D34:I34" si="33">AVERAGE(D25:D33)</f>
        <v>3</v>
      </c>
      <c r="E34">
        <f t="shared" si="33"/>
        <v>3.25</v>
      </c>
      <c r="F34">
        <f t="shared" si="33"/>
        <v>8.6666666666666661</v>
      </c>
      <c r="G34">
        <f t="shared" si="33"/>
        <v>2.6666666666666665</v>
      </c>
      <c r="H34">
        <f t="shared" si="33"/>
        <v>7</v>
      </c>
      <c r="I34">
        <f t="shared" si="33"/>
        <v>8</v>
      </c>
      <c r="Q34">
        <f>SUM(Q25:Q33)</f>
        <v>0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108A7-E863-4DA9-8B37-20848013B008}">
  <dimension ref="A1:BA34"/>
  <sheetViews>
    <sheetView zoomScale="55" zoomScaleNormal="55" workbookViewId="0">
      <selection activeCell="BC56" sqref="BC56"/>
    </sheetView>
  </sheetViews>
  <sheetFormatPr defaultRowHeight="18"/>
  <cols>
    <col min="19" max="54" width="3" customWidth="1"/>
  </cols>
  <sheetData>
    <row r="1" spans="1:53">
      <c r="A1">
        <v>1</v>
      </c>
      <c r="B1">
        <v>1</v>
      </c>
      <c r="C1" t="s">
        <v>0</v>
      </c>
      <c r="D1">
        <f>IF($C1="A",A1,"")</f>
        <v>1</v>
      </c>
      <c r="E1">
        <f>IF($C1="A",B1,"")</f>
        <v>1</v>
      </c>
      <c r="F1" t="str">
        <f>IF($C1="B",A1,"")</f>
        <v/>
      </c>
      <c r="G1" t="str">
        <f>IF($C1="B",B1,"")</f>
        <v/>
      </c>
      <c r="H1" t="str">
        <f>IF($C1="C",A1,"")</f>
        <v/>
      </c>
      <c r="I1" t="str">
        <f>IF($C1="C",B1,"")</f>
        <v/>
      </c>
      <c r="J1">
        <f>D10</f>
        <v>2.6666666666666665</v>
      </c>
      <c r="K1">
        <f>E10</f>
        <v>2.3333333333333335</v>
      </c>
      <c r="L1">
        <f>SQRT((A1-D$10)^2+(B1-E$10)^2)</f>
        <v>2.1343747458109497</v>
      </c>
      <c r="M1">
        <f>SQRT((A1-F$10)^2+(B1-G$10)^2)</f>
        <v>2.4037008503093262</v>
      </c>
      <c r="N1">
        <f>SQRT((A1-H$10)^2+(B1-I$10)^2)</f>
        <v>2.6034165586355513</v>
      </c>
      <c r="O1">
        <f>MIN(L1:N1)</f>
        <v>2.1343747458109497</v>
      </c>
      <c r="P1" t="str">
        <f>IF(O1=L1,"A",IF(O1=M1,"B","C"))</f>
        <v>A</v>
      </c>
      <c r="Q1">
        <f>IF(C1=P1,0,1)</f>
        <v>0</v>
      </c>
    </row>
    <row r="2" spans="1:53">
      <c r="A2">
        <v>1</v>
      </c>
      <c r="B2">
        <v>2</v>
      </c>
      <c r="C2" t="s">
        <v>3</v>
      </c>
      <c r="D2" t="str">
        <f t="shared" ref="D2:E9" si="0">IF($C2="A",A2,"")</f>
        <v/>
      </c>
      <c r="E2" t="str">
        <f t="shared" si="0"/>
        <v/>
      </c>
      <c r="F2">
        <f t="shared" ref="F2:G9" si="1">IF($C2="B",A2,"")</f>
        <v>1</v>
      </c>
      <c r="G2">
        <f t="shared" si="1"/>
        <v>2</v>
      </c>
      <c r="H2" t="str">
        <f t="shared" ref="H2:I9" si="2">IF($C2="C",A2,"")</f>
        <v/>
      </c>
      <c r="I2" t="str">
        <f t="shared" si="2"/>
        <v/>
      </c>
      <c r="J2">
        <f>F10</f>
        <v>2.3333333333333335</v>
      </c>
      <c r="K2">
        <f>G10</f>
        <v>3</v>
      </c>
      <c r="L2">
        <f t="shared" ref="L2:L9" si="3">SQRT((A2-D$10)^2+(B2-E$10)^2)</f>
        <v>1.6996731711975948</v>
      </c>
      <c r="M2">
        <f t="shared" ref="M2:M9" si="4">SQRT((A2-F$10)^2+(B2-G$10)^2)</f>
        <v>1.6666666666666667</v>
      </c>
      <c r="N2">
        <f t="shared" ref="N2:N9" si="5">SQRT((A2-H$10)^2+(B2-I$10)^2)</f>
        <v>1.9436506316151001</v>
      </c>
      <c r="O2">
        <f t="shared" ref="O2:O9" si="6">MIN(L2:N2)</f>
        <v>1.6666666666666667</v>
      </c>
      <c r="P2" t="str">
        <f t="shared" ref="P2:P9" si="7">IF(O2=L2,"A",IF(O2=M2,"B","C"))</f>
        <v>B</v>
      </c>
      <c r="Q2">
        <f t="shared" ref="Q2:Q9" si="8">IF(C2=P2,0,1)</f>
        <v>0</v>
      </c>
    </row>
    <row r="3" spans="1:53">
      <c r="A3">
        <v>2</v>
      </c>
      <c r="B3">
        <v>2</v>
      </c>
      <c r="C3" t="s">
        <v>5</v>
      </c>
      <c r="D3" t="str">
        <f t="shared" si="0"/>
        <v/>
      </c>
      <c r="E3" t="str">
        <f t="shared" si="0"/>
        <v/>
      </c>
      <c r="F3" t="str">
        <f t="shared" si="1"/>
        <v/>
      </c>
      <c r="G3" t="str">
        <f t="shared" si="1"/>
        <v/>
      </c>
      <c r="H3">
        <f t="shared" si="2"/>
        <v>2</v>
      </c>
      <c r="I3">
        <f t="shared" si="2"/>
        <v>2</v>
      </c>
      <c r="J3">
        <f>H10</f>
        <v>2.6666666666666665</v>
      </c>
      <c r="K3">
        <f>I10</f>
        <v>3</v>
      </c>
      <c r="L3">
        <f t="shared" si="3"/>
        <v>0.74535599249992979</v>
      </c>
      <c r="M3">
        <f t="shared" si="4"/>
        <v>1.0540925533894598</v>
      </c>
      <c r="N3">
        <f t="shared" si="5"/>
        <v>1.2018504251546629</v>
      </c>
      <c r="O3">
        <f t="shared" si="6"/>
        <v>0.74535599249992979</v>
      </c>
      <c r="P3" t="str">
        <f t="shared" si="7"/>
        <v>A</v>
      </c>
      <c r="Q3">
        <f t="shared" si="8"/>
        <v>1</v>
      </c>
    </row>
    <row r="4" spans="1:53">
      <c r="A4">
        <v>2</v>
      </c>
      <c r="B4">
        <v>4</v>
      </c>
      <c r="C4" t="s">
        <v>1</v>
      </c>
      <c r="D4">
        <f t="shared" si="0"/>
        <v>2</v>
      </c>
      <c r="E4">
        <f t="shared" si="0"/>
        <v>4</v>
      </c>
      <c r="F4" t="str">
        <f t="shared" si="1"/>
        <v/>
      </c>
      <c r="G4" t="str">
        <f t="shared" si="1"/>
        <v/>
      </c>
      <c r="H4" t="str">
        <f t="shared" si="2"/>
        <v/>
      </c>
      <c r="I4" t="str">
        <f t="shared" si="2"/>
        <v/>
      </c>
      <c r="L4">
        <f t="shared" si="3"/>
        <v>1.7950549357115011</v>
      </c>
      <c r="M4">
        <f t="shared" si="4"/>
        <v>1.0540925533894598</v>
      </c>
      <c r="N4">
        <f t="shared" si="5"/>
        <v>1.2018504251546629</v>
      </c>
      <c r="O4">
        <f t="shared" si="6"/>
        <v>1.0540925533894598</v>
      </c>
      <c r="P4" t="str">
        <f t="shared" si="7"/>
        <v>B</v>
      </c>
      <c r="Q4">
        <f t="shared" si="8"/>
        <v>1</v>
      </c>
    </row>
    <row r="5" spans="1:53">
      <c r="A5">
        <v>2</v>
      </c>
      <c r="B5">
        <v>5</v>
      </c>
      <c r="C5" t="s">
        <v>3</v>
      </c>
      <c r="D5" t="str">
        <f t="shared" si="0"/>
        <v/>
      </c>
      <c r="E5" t="str">
        <f t="shared" si="0"/>
        <v/>
      </c>
      <c r="F5">
        <f t="shared" si="1"/>
        <v>2</v>
      </c>
      <c r="G5">
        <f t="shared" si="1"/>
        <v>5</v>
      </c>
      <c r="H5" t="str">
        <f t="shared" si="2"/>
        <v/>
      </c>
      <c r="I5" t="str">
        <f t="shared" si="2"/>
        <v/>
      </c>
      <c r="L5">
        <f t="shared" si="3"/>
        <v>2.7487370837451071</v>
      </c>
      <c r="M5">
        <f t="shared" si="4"/>
        <v>2.0275875100994067</v>
      </c>
      <c r="N5">
        <f t="shared" si="5"/>
        <v>2.1081851067789197</v>
      </c>
      <c r="O5">
        <f t="shared" si="6"/>
        <v>2.0275875100994067</v>
      </c>
      <c r="P5" t="str">
        <f t="shared" si="7"/>
        <v>B</v>
      </c>
      <c r="Q5">
        <f t="shared" si="8"/>
        <v>0</v>
      </c>
    </row>
    <row r="6" spans="1:53">
      <c r="A6">
        <v>1</v>
      </c>
      <c r="B6">
        <v>4</v>
      </c>
      <c r="C6" t="s">
        <v>5</v>
      </c>
      <c r="D6" t="str">
        <f t="shared" si="0"/>
        <v/>
      </c>
      <c r="E6" t="str">
        <f t="shared" si="0"/>
        <v/>
      </c>
      <c r="F6" t="str">
        <f t="shared" si="1"/>
        <v/>
      </c>
      <c r="G6" t="str">
        <f t="shared" si="1"/>
        <v/>
      </c>
      <c r="H6">
        <f t="shared" si="2"/>
        <v>1</v>
      </c>
      <c r="I6">
        <f t="shared" si="2"/>
        <v>4</v>
      </c>
      <c r="L6">
        <f t="shared" si="3"/>
        <v>2.3570226039551581</v>
      </c>
      <c r="M6">
        <f t="shared" si="4"/>
        <v>1.6666666666666667</v>
      </c>
      <c r="N6">
        <f t="shared" si="5"/>
        <v>1.9436506316151001</v>
      </c>
      <c r="O6">
        <f t="shared" si="6"/>
        <v>1.6666666666666667</v>
      </c>
      <c r="P6" t="str">
        <f t="shared" si="7"/>
        <v>B</v>
      </c>
      <c r="Q6">
        <f t="shared" si="8"/>
        <v>1</v>
      </c>
    </row>
    <row r="7" spans="1:53">
      <c r="A7">
        <v>5</v>
      </c>
      <c r="B7">
        <v>2</v>
      </c>
      <c r="C7" t="s">
        <v>1</v>
      </c>
      <c r="D7">
        <f t="shared" si="0"/>
        <v>5</v>
      </c>
      <c r="E7">
        <f t="shared" si="0"/>
        <v>2</v>
      </c>
      <c r="F7" t="str">
        <f t="shared" si="1"/>
        <v/>
      </c>
      <c r="G7" t="str">
        <f t="shared" si="1"/>
        <v/>
      </c>
      <c r="H7" t="str">
        <f t="shared" si="2"/>
        <v/>
      </c>
      <c r="I7" t="str">
        <f t="shared" si="2"/>
        <v/>
      </c>
      <c r="L7">
        <f t="shared" si="3"/>
        <v>2.3570226039551589</v>
      </c>
      <c r="M7">
        <f t="shared" si="4"/>
        <v>2.8480012484391768</v>
      </c>
      <c r="N7">
        <f t="shared" si="5"/>
        <v>2.5385910352879697</v>
      </c>
      <c r="O7">
        <f t="shared" si="6"/>
        <v>2.3570226039551589</v>
      </c>
      <c r="P7" t="str">
        <f t="shared" si="7"/>
        <v>A</v>
      </c>
      <c r="Q7">
        <f t="shared" si="8"/>
        <v>0</v>
      </c>
    </row>
    <row r="8" spans="1:53">
      <c r="A8">
        <v>4</v>
      </c>
      <c r="B8">
        <v>2</v>
      </c>
      <c r="C8" t="s">
        <v>3</v>
      </c>
      <c r="D8" t="str">
        <f t="shared" si="0"/>
        <v/>
      </c>
      <c r="E8" t="str">
        <f t="shared" si="0"/>
        <v/>
      </c>
      <c r="F8">
        <f t="shared" si="1"/>
        <v>4</v>
      </c>
      <c r="G8">
        <f t="shared" si="1"/>
        <v>2</v>
      </c>
      <c r="H8" t="str">
        <f t="shared" si="2"/>
        <v/>
      </c>
      <c r="I8" t="str">
        <f t="shared" si="2"/>
        <v/>
      </c>
      <c r="L8">
        <f t="shared" si="3"/>
        <v>1.3743685418725538</v>
      </c>
      <c r="M8">
        <f t="shared" si="4"/>
        <v>1.9436506316151001</v>
      </c>
      <c r="N8">
        <f t="shared" si="5"/>
        <v>1.6666666666666667</v>
      </c>
      <c r="O8">
        <f t="shared" si="6"/>
        <v>1.3743685418725538</v>
      </c>
      <c r="P8" t="str">
        <f t="shared" si="7"/>
        <v>A</v>
      </c>
      <c r="Q8">
        <f t="shared" si="8"/>
        <v>1</v>
      </c>
    </row>
    <row r="9" spans="1:53">
      <c r="A9">
        <v>5</v>
      </c>
      <c r="B9">
        <v>3</v>
      </c>
      <c r="C9" t="s">
        <v>4</v>
      </c>
      <c r="D9" t="str">
        <f t="shared" si="0"/>
        <v/>
      </c>
      <c r="E9" t="str">
        <f t="shared" si="0"/>
        <v/>
      </c>
      <c r="F9" t="str">
        <f t="shared" si="1"/>
        <v/>
      </c>
      <c r="G9" t="str">
        <f t="shared" si="1"/>
        <v/>
      </c>
      <c r="H9">
        <f t="shared" si="2"/>
        <v>5</v>
      </c>
      <c r="I9">
        <f t="shared" si="2"/>
        <v>3</v>
      </c>
      <c r="L9">
        <f t="shared" si="3"/>
        <v>2.4267032964268398</v>
      </c>
      <c r="M9">
        <f t="shared" si="4"/>
        <v>2.6666666666666665</v>
      </c>
      <c r="N9">
        <f t="shared" si="5"/>
        <v>2.3333333333333335</v>
      </c>
      <c r="O9">
        <f t="shared" si="6"/>
        <v>2.3333333333333335</v>
      </c>
      <c r="P9" t="str">
        <f t="shared" si="7"/>
        <v>C</v>
      </c>
      <c r="Q9">
        <f t="shared" si="8"/>
        <v>0</v>
      </c>
      <c r="AS9" s="1"/>
    </row>
    <row r="10" spans="1:53">
      <c r="D10">
        <f t="shared" ref="D10:I10" si="9">AVERAGE(D1:D9)</f>
        <v>2.6666666666666665</v>
      </c>
      <c r="E10">
        <f t="shared" si="9"/>
        <v>2.3333333333333335</v>
      </c>
      <c r="F10">
        <f t="shared" si="9"/>
        <v>2.3333333333333335</v>
      </c>
      <c r="G10">
        <f t="shared" si="9"/>
        <v>3</v>
      </c>
      <c r="H10">
        <f t="shared" si="9"/>
        <v>2.6666666666666665</v>
      </c>
      <c r="I10">
        <f t="shared" si="9"/>
        <v>3</v>
      </c>
      <c r="Q10">
        <f>SUM(Q1:Q9)</f>
        <v>4</v>
      </c>
      <c r="AS10" s="1"/>
    </row>
    <row r="11" spans="1:53">
      <c r="AS11" s="1"/>
    </row>
    <row r="12" spans="1:53">
      <c r="AS12" s="1"/>
      <c r="BA12" t="s">
        <v>6</v>
      </c>
    </row>
    <row r="13" spans="1:53">
      <c r="A13">
        <f>A1</f>
        <v>1</v>
      </c>
      <c r="B13">
        <f>B1</f>
        <v>1</v>
      </c>
      <c r="C13" t="str">
        <f>P1</f>
        <v>A</v>
      </c>
      <c r="D13">
        <f>IF($C13="A",A13,"")</f>
        <v>1</v>
      </c>
      <c r="E13">
        <f>IF($C13="A",B13,"")</f>
        <v>1</v>
      </c>
      <c r="F13" t="str">
        <f>IF($C13="B",A13,"")</f>
        <v/>
      </c>
      <c r="G13" t="str">
        <f>IF($C13="B",B13,"")</f>
        <v/>
      </c>
      <c r="H13" t="str">
        <f>IF($C13="C",A13,"")</f>
        <v/>
      </c>
      <c r="I13" t="str">
        <f>IF($C13="C",B13,"")</f>
        <v/>
      </c>
      <c r="J13">
        <f>D22</f>
        <v>3</v>
      </c>
      <c r="K13">
        <f>E22</f>
        <v>1.75</v>
      </c>
      <c r="L13">
        <f>SQRT((A13-D$22)^2+(B13-E$22)^2)</f>
        <v>2.1360009363293826</v>
      </c>
      <c r="M13">
        <f>SQRT((A13-F$22)^2+(B13-G$22)^2)</f>
        <v>2.7950849718747373</v>
      </c>
      <c r="N13">
        <f>SQRT((A13-H$22)^2+(B13-I$22)^2)</f>
        <v>4.4721359549995796</v>
      </c>
      <c r="O13">
        <f>MIN(L13:N13)</f>
        <v>2.1360009363293826</v>
      </c>
      <c r="P13" t="str">
        <f>IF(O13=L13,"A",IF(O13=M13,"B","C"))</f>
        <v>A</v>
      </c>
      <c r="Q13">
        <f>IF(C13=P13,0,1)</f>
        <v>0</v>
      </c>
      <c r="AS13" s="1"/>
    </row>
    <row r="14" spans="1:53">
      <c r="A14">
        <f t="shared" ref="A14:B21" si="10">A2</f>
        <v>1</v>
      </c>
      <c r="B14">
        <f t="shared" si="10"/>
        <v>2</v>
      </c>
      <c r="C14" t="str">
        <f t="shared" ref="C14:C21" si="11">P2</f>
        <v>B</v>
      </c>
      <c r="D14" t="str">
        <f t="shared" ref="D14:E21" si="12">IF($C14="A",A14,"")</f>
        <v/>
      </c>
      <c r="E14" t="str">
        <f t="shared" si="12"/>
        <v/>
      </c>
      <c r="F14">
        <f t="shared" ref="F14:G21" si="13">IF($C14="B",A14,"")</f>
        <v>1</v>
      </c>
      <c r="G14">
        <f t="shared" si="13"/>
        <v>2</v>
      </c>
      <c r="H14" t="str">
        <f t="shared" ref="H14:I21" si="14">IF($C14="C",A14,"")</f>
        <v/>
      </c>
      <c r="I14" t="str">
        <f t="shared" si="14"/>
        <v/>
      </c>
      <c r="J14">
        <f>F22</f>
        <v>1.5</v>
      </c>
      <c r="K14">
        <f>G22</f>
        <v>3.75</v>
      </c>
      <c r="L14">
        <f t="shared" ref="L14:L21" si="15">SQRT((A14-D$22)^2+(B14-E$22)^2)</f>
        <v>2.0155644370746373</v>
      </c>
      <c r="M14">
        <f t="shared" ref="M14:M21" si="16">SQRT((A14-F$22)^2+(B14-G$22)^2)</f>
        <v>1.8200274723201295</v>
      </c>
      <c r="N14">
        <f t="shared" ref="N14:N21" si="17">SQRT((A14-H$22)^2+(B14-I$22)^2)</f>
        <v>4.1231056256176606</v>
      </c>
      <c r="O14">
        <f t="shared" ref="O14:O21" si="18">MIN(L14:N14)</f>
        <v>1.8200274723201295</v>
      </c>
      <c r="P14" t="str">
        <f t="shared" ref="P14:P21" si="19">IF(O14=L14,"A",IF(O14=M14,"B","C"))</f>
        <v>B</v>
      </c>
      <c r="Q14">
        <f t="shared" ref="Q14:Q21" si="20">IF(C14=P14,0,1)</f>
        <v>0</v>
      </c>
      <c r="AS14" s="1"/>
    </row>
    <row r="15" spans="1:53">
      <c r="A15">
        <f t="shared" si="10"/>
        <v>2</v>
      </c>
      <c r="B15">
        <f t="shared" si="10"/>
        <v>2</v>
      </c>
      <c r="C15" t="str">
        <f t="shared" si="11"/>
        <v>A</v>
      </c>
      <c r="D15">
        <f t="shared" si="12"/>
        <v>2</v>
      </c>
      <c r="E15">
        <f t="shared" si="12"/>
        <v>2</v>
      </c>
      <c r="F15" t="str">
        <f t="shared" si="13"/>
        <v/>
      </c>
      <c r="G15" t="str">
        <f t="shared" si="13"/>
        <v/>
      </c>
      <c r="H15" t="str">
        <f t="shared" si="14"/>
        <v/>
      </c>
      <c r="I15" t="str">
        <f t="shared" si="14"/>
        <v/>
      </c>
      <c r="J15">
        <f>H22</f>
        <v>5</v>
      </c>
      <c r="K15">
        <f>I22</f>
        <v>3</v>
      </c>
      <c r="L15">
        <f t="shared" si="15"/>
        <v>1.0307764064044151</v>
      </c>
      <c r="M15">
        <f t="shared" si="16"/>
        <v>1.8200274723201295</v>
      </c>
      <c r="N15">
        <f t="shared" si="17"/>
        <v>3.1622776601683795</v>
      </c>
      <c r="O15">
        <f t="shared" si="18"/>
        <v>1.0307764064044151</v>
      </c>
      <c r="P15" t="str">
        <f t="shared" si="19"/>
        <v>A</v>
      </c>
      <c r="Q15">
        <f t="shared" si="20"/>
        <v>0</v>
      </c>
      <c r="AS15" s="1"/>
    </row>
    <row r="16" spans="1:53">
      <c r="A16">
        <f t="shared" si="10"/>
        <v>2</v>
      </c>
      <c r="B16">
        <f t="shared" si="10"/>
        <v>4</v>
      </c>
      <c r="C16" t="str">
        <f t="shared" si="11"/>
        <v>B</v>
      </c>
      <c r="D16" t="str">
        <f t="shared" si="12"/>
        <v/>
      </c>
      <c r="E16" t="str">
        <f t="shared" si="12"/>
        <v/>
      </c>
      <c r="F16">
        <f t="shared" si="13"/>
        <v>2</v>
      </c>
      <c r="G16">
        <f t="shared" si="13"/>
        <v>4</v>
      </c>
      <c r="H16" t="str">
        <f t="shared" si="14"/>
        <v/>
      </c>
      <c r="I16" t="str">
        <f t="shared" si="14"/>
        <v/>
      </c>
      <c r="L16">
        <f t="shared" si="15"/>
        <v>2.462214450449026</v>
      </c>
      <c r="M16">
        <f t="shared" si="16"/>
        <v>0.55901699437494745</v>
      </c>
      <c r="N16">
        <f t="shared" si="17"/>
        <v>3.1622776601683795</v>
      </c>
      <c r="O16">
        <f t="shared" si="18"/>
        <v>0.55901699437494745</v>
      </c>
      <c r="P16" t="str">
        <f t="shared" si="19"/>
        <v>B</v>
      </c>
      <c r="Q16">
        <f t="shared" si="20"/>
        <v>0</v>
      </c>
      <c r="AS16" s="1"/>
    </row>
    <row r="17" spans="1:45">
      <c r="A17">
        <f t="shared" si="10"/>
        <v>2</v>
      </c>
      <c r="B17">
        <f t="shared" si="10"/>
        <v>5</v>
      </c>
      <c r="C17" t="str">
        <f t="shared" si="11"/>
        <v>B</v>
      </c>
      <c r="D17" t="str">
        <f t="shared" si="12"/>
        <v/>
      </c>
      <c r="E17" t="str">
        <f t="shared" si="12"/>
        <v/>
      </c>
      <c r="F17">
        <f t="shared" si="13"/>
        <v>2</v>
      </c>
      <c r="G17">
        <f t="shared" si="13"/>
        <v>5</v>
      </c>
      <c r="H17" t="str">
        <f t="shared" si="14"/>
        <v/>
      </c>
      <c r="I17" t="str">
        <f t="shared" si="14"/>
        <v/>
      </c>
      <c r="L17">
        <f t="shared" si="15"/>
        <v>3.400367627183861</v>
      </c>
      <c r="M17">
        <f t="shared" si="16"/>
        <v>1.3462912017836259</v>
      </c>
      <c r="N17">
        <f t="shared" si="17"/>
        <v>3.6055512754639891</v>
      </c>
      <c r="O17">
        <f t="shared" si="18"/>
        <v>1.3462912017836259</v>
      </c>
      <c r="P17" t="str">
        <f t="shared" si="19"/>
        <v>B</v>
      </c>
      <c r="Q17">
        <f t="shared" si="20"/>
        <v>0</v>
      </c>
      <c r="AS17" s="1"/>
    </row>
    <row r="18" spans="1:45">
      <c r="A18">
        <f t="shared" si="10"/>
        <v>1</v>
      </c>
      <c r="B18">
        <f t="shared" si="10"/>
        <v>4</v>
      </c>
      <c r="C18" t="str">
        <f t="shared" si="11"/>
        <v>B</v>
      </c>
      <c r="D18" t="str">
        <f t="shared" si="12"/>
        <v/>
      </c>
      <c r="E18" t="str">
        <f t="shared" si="12"/>
        <v/>
      </c>
      <c r="F18">
        <f t="shared" si="13"/>
        <v>1</v>
      </c>
      <c r="G18">
        <f t="shared" si="13"/>
        <v>4</v>
      </c>
      <c r="H18" t="str">
        <f t="shared" si="14"/>
        <v/>
      </c>
      <c r="I18" t="str">
        <f t="shared" si="14"/>
        <v/>
      </c>
      <c r="L18">
        <f t="shared" si="15"/>
        <v>3.0103986446980739</v>
      </c>
      <c r="M18">
        <f t="shared" si="16"/>
        <v>0.55901699437494745</v>
      </c>
      <c r="N18">
        <f t="shared" si="17"/>
        <v>4.1231056256176606</v>
      </c>
      <c r="O18">
        <f t="shared" si="18"/>
        <v>0.55901699437494745</v>
      </c>
      <c r="P18" t="str">
        <f t="shared" si="19"/>
        <v>B</v>
      </c>
      <c r="Q18">
        <f t="shared" si="20"/>
        <v>0</v>
      </c>
      <c r="AS18" s="1"/>
    </row>
    <row r="19" spans="1:45">
      <c r="A19">
        <f t="shared" si="10"/>
        <v>5</v>
      </c>
      <c r="B19">
        <f t="shared" si="10"/>
        <v>2</v>
      </c>
      <c r="C19" t="str">
        <f t="shared" si="11"/>
        <v>A</v>
      </c>
      <c r="D19">
        <f t="shared" si="12"/>
        <v>5</v>
      </c>
      <c r="E19">
        <f t="shared" si="12"/>
        <v>2</v>
      </c>
      <c r="F19" t="str">
        <f t="shared" si="13"/>
        <v/>
      </c>
      <c r="G19" t="str">
        <f t="shared" si="13"/>
        <v/>
      </c>
      <c r="H19" t="str">
        <f t="shared" si="14"/>
        <v/>
      </c>
      <c r="I19" t="str">
        <f t="shared" si="14"/>
        <v/>
      </c>
      <c r="L19">
        <f t="shared" si="15"/>
        <v>2.0155644370746373</v>
      </c>
      <c r="M19">
        <f t="shared" si="16"/>
        <v>3.9131189606246322</v>
      </c>
      <c r="N19">
        <f t="shared" si="17"/>
        <v>1</v>
      </c>
      <c r="O19">
        <f t="shared" si="18"/>
        <v>1</v>
      </c>
      <c r="P19" t="str">
        <f t="shared" si="19"/>
        <v>C</v>
      </c>
      <c r="Q19">
        <f t="shared" si="20"/>
        <v>1</v>
      </c>
      <c r="AS19" s="1"/>
    </row>
    <row r="20" spans="1:45">
      <c r="A20">
        <f t="shared" si="10"/>
        <v>4</v>
      </c>
      <c r="B20">
        <f t="shared" si="10"/>
        <v>2</v>
      </c>
      <c r="C20" t="str">
        <f t="shared" si="11"/>
        <v>A</v>
      </c>
      <c r="D20">
        <f t="shared" si="12"/>
        <v>4</v>
      </c>
      <c r="E20">
        <f t="shared" si="12"/>
        <v>2</v>
      </c>
      <c r="F20" t="str">
        <f t="shared" si="13"/>
        <v/>
      </c>
      <c r="G20" t="str">
        <f t="shared" si="13"/>
        <v/>
      </c>
      <c r="H20" t="str">
        <f t="shared" si="14"/>
        <v/>
      </c>
      <c r="I20" t="str">
        <f t="shared" si="14"/>
        <v/>
      </c>
      <c r="L20">
        <f t="shared" si="15"/>
        <v>1.0307764064044151</v>
      </c>
      <c r="M20">
        <f t="shared" si="16"/>
        <v>3.0516389039334255</v>
      </c>
      <c r="N20">
        <f t="shared" si="17"/>
        <v>1.4142135623730951</v>
      </c>
      <c r="O20">
        <f t="shared" si="18"/>
        <v>1.0307764064044151</v>
      </c>
      <c r="P20" t="str">
        <f t="shared" si="19"/>
        <v>A</v>
      </c>
      <c r="Q20">
        <f t="shared" si="20"/>
        <v>0</v>
      </c>
      <c r="AS20" s="1"/>
    </row>
    <row r="21" spans="1:45">
      <c r="A21">
        <f t="shared" si="10"/>
        <v>5</v>
      </c>
      <c r="B21">
        <f t="shared" si="10"/>
        <v>3</v>
      </c>
      <c r="C21" t="str">
        <f t="shared" si="11"/>
        <v>C</v>
      </c>
      <c r="D21" t="str">
        <f t="shared" si="12"/>
        <v/>
      </c>
      <c r="E21" t="str">
        <f t="shared" si="12"/>
        <v/>
      </c>
      <c r="F21" t="str">
        <f t="shared" si="13"/>
        <v/>
      </c>
      <c r="G21" t="str">
        <f t="shared" si="13"/>
        <v/>
      </c>
      <c r="H21">
        <f t="shared" si="14"/>
        <v>5</v>
      </c>
      <c r="I21">
        <f t="shared" si="14"/>
        <v>3</v>
      </c>
      <c r="L21">
        <f t="shared" si="15"/>
        <v>2.3584952830141508</v>
      </c>
      <c r="M21">
        <f t="shared" si="16"/>
        <v>3.5794552658190883</v>
      </c>
      <c r="N21">
        <f t="shared" si="17"/>
        <v>0</v>
      </c>
      <c r="O21">
        <f t="shared" si="18"/>
        <v>0</v>
      </c>
      <c r="P21" t="str">
        <f t="shared" si="19"/>
        <v>C</v>
      </c>
      <c r="Q21">
        <f t="shared" si="20"/>
        <v>0</v>
      </c>
      <c r="AS21" s="1"/>
    </row>
    <row r="22" spans="1:45">
      <c r="D22">
        <f t="shared" ref="D22:I22" si="21">AVERAGE(D13:D21)</f>
        <v>3</v>
      </c>
      <c r="E22">
        <f t="shared" si="21"/>
        <v>1.75</v>
      </c>
      <c r="F22">
        <f t="shared" si="21"/>
        <v>1.5</v>
      </c>
      <c r="G22">
        <f t="shared" si="21"/>
        <v>3.75</v>
      </c>
      <c r="H22">
        <f t="shared" si="21"/>
        <v>5</v>
      </c>
      <c r="I22">
        <f t="shared" si="21"/>
        <v>3</v>
      </c>
      <c r="Q22">
        <f>SUM(Q13:Q21)</f>
        <v>1</v>
      </c>
      <c r="AS22" s="1"/>
    </row>
    <row r="23" spans="1:45">
      <c r="AS23" s="1"/>
    </row>
    <row r="24" spans="1:45">
      <c r="AS24" s="1"/>
    </row>
    <row r="25" spans="1:45">
      <c r="A25">
        <f>A13</f>
        <v>1</v>
      </c>
      <c r="B25">
        <f>B13</f>
        <v>1</v>
      </c>
      <c r="C25" t="str">
        <f>P13</f>
        <v>A</v>
      </c>
      <c r="D25">
        <f>IF($C25="A",A25,"")</f>
        <v>1</v>
      </c>
      <c r="E25">
        <f>IF($C25="A",B25,"")</f>
        <v>1</v>
      </c>
      <c r="F25" t="str">
        <f>IF($C25="B",A25,"")</f>
        <v/>
      </c>
      <c r="G25" t="str">
        <f>IF($C25="B",B25,"")</f>
        <v/>
      </c>
      <c r="H25" t="str">
        <f>IF($C25="C",A25,"")</f>
        <v/>
      </c>
      <c r="I25" t="str">
        <f>IF($C25="C",B25,"")</f>
        <v/>
      </c>
      <c r="J25">
        <f>D34</f>
        <v>2.3333333333333335</v>
      </c>
      <c r="K25">
        <f>E34</f>
        <v>1.6666666666666667</v>
      </c>
      <c r="L25">
        <f>SQRT((A25-D$34)^2+(B25-E$34)^2)</f>
        <v>1.49071198499986</v>
      </c>
      <c r="M25">
        <f>SQRT((A25-F$34)^2+(B25-G$34)^2)</f>
        <v>2.7950849718747373</v>
      </c>
      <c r="N25">
        <f>SQRT((A25-H$34)^2+(B25-I$34)^2)</f>
        <v>4.2720018726587652</v>
      </c>
      <c r="O25">
        <f>MIN(L25:N25)</f>
        <v>1.49071198499986</v>
      </c>
      <c r="P25" t="str">
        <f>IF(O25=L25,"A",IF(O25=M25,"B","C"))</f>
        <v>A</v>
      </c>
      <c r="Q25">
        <f>IF(C25=P25,0,1)</f>
        <v>0</v>
      </c>
      <c r="AS25" s="1"/>
    </row>
    <row r="26" spans="1:45">
      <c r="A26">
        <f t="shared" ref="A26:B33" si="22">A14</f>
        <v>1</v>
      </c>
      <c r="B26">
        <f t="shared" si="22"/>
        <v>2</v>
      </c>
      <c r="C26" t="str">
        <f t="shared" ref="C26:C33" si="23">P14</f>
        <v>B</v>
      </c>
      <c r="D26" t="str">
        <f t="shared" ref="D26:E33" si="24">IF($C26="A",A26,"")</f>
        <v/>
      </c>
      <c r="E26" t="str">
        <f t="shared" si="24"/>
        <v/>
      </c>
      <c r="F26">
        <f t="shared" ref="F26:G33" si="25">IF($C26="B",A26,"")</f>
        <v>1</v>
      </c>
      <c r="G26">
        <f t="shared" si="25"/>
        <v>2</v>
      </c>
      <c r="H26" t="str">
        <f t="shared" ref="H26:I33" si="26">IF($C26="C",A26,"")</f>
        <v/>
      </c>
      <c r="I26" t="str">
        <f t="shared" si="26"/>
        <v/>
      </c>
      <c r="J26">
        <f>F34</f>
        <v>1.5</v>
      </c>
      <c r="K26">
        <f>G34</f>
        <v>3.75</v>
      </c>
      <c r="L26">
        <f t="shared" ref="L26:L33" si="27">SQRT((A26-D$34)^2+(B26-E$34)^2)</f>
        <v>1.3743685418725538</v>
      </c>
      <c r="M26">
        <f t="shared" ref="M26:M33" si="28">SQRT((A26-F$34)^2+(B26-G$34)^2)</f>
        <v>1.8200274723201295</v>
      </c>
      <c r="N26">
        <f t="shared" ref="N26:N33" si="29">SQRT((A26-H$34)^2+(B26-I$34)^2)</f>
        <v>4.0311288741492746</v>
      </c>
      <c r="O26">
        <f t="shared" ref="O26:O33" si="30">MIN(L26:N26)</f>
        <v>1.3743685418725538</v>
      </c>
      <c r="P26" t="str">
        <f t="shared" ref="P26:P33" si="31">IF(O26=L26,"A",IF(O26=M26,"B","C"))</f>
        <v>A</v>
      </c>
      <c r="Q26">
        <f t="shared" ref="Q26:Q33" si="32">IF(C26=P26,0,1)</f>
        <v>1</v>
      </c>
      <c r="AS26" s="1"/>
    </row>
    <row r="27" spans="1:45">
      <c r="A27">
        <f t="shared" si="22"/>
        <v>2</v>
      </c>
      <c r="B27">
        <f t="shared" si="22"/>
        <v>2</v>
      </c>
      <c r="C27" t="str">
        <f t="shared" si="23"/>
        <v>A</v>
      </c>
      <c r="D27">
        <f t="shared" si="24"/>
        <v>2</v>
      </c>
      <c r="E27">
        <f t="shared" si="24"/>
        <v>2</v>
      </c>
      <c r="F27" t="str">
        <f t="shared" si="25"/>
        <v/>
      </c>
      <c r="G27" t="str">
        <f t="shared" si="25"/>
        <v/>
      </c>
      <c r="H27" t="str">
        <f t="shared" si="26"/>
        <v/>
      </c>
      <c r="I27" t="str">
        <f t="shared" si="26"/>
        <v/>
      </c>
      <c r="J27">
        <f>H34</f>
        <v>5</v>
      </c>
      <c r="K27">
        <f>I34</f>
        <v>2.5</v>
      </c>
      <c r="L27">
        <f t="shared" si="27"/>
        <v>0.47140452079103173</v>
      </c>
      <c r="M27">
        <f t="shared" si="28"/>
        <v>1.8200274723201295</v>
      </c>
      <c r="N27">
        <f t="shared" si="29"/>
        <v>3.0413812651491097</v>
      </c>
      <c r="O27">
        <f t="shared" si="30"/>
        <v>0.47140452079103173</v>
      </c>
      <c r="P27" t="str">
        <f t="shared" si="31"/>
        <v>A</v>
      </c>
      <c r="Q27">
        <f t="shared" si="32"/>
        <v>0</v>
      </c>
      <c r="AS27" s="1"/>
    </row>
    <row r="28" spans="1:45">
      <c r="A28">
        <f t="shared" si="22"/>
        <v>2</v>
      </c>
      <c r="B28">
        <f t="shared" si="22"/>
        <v>4</v>
      </c>
      <c r="C28" t="str">
        <f t="shared" si="23"/>
        <v>B</v>
      </c>
      <c r="D28" t="str">
        <f t="shared" si="24"/>
        <v/>
      </c>
      <c r="E28" t="str">
        <f t="shared" si="24"/>
        <v/>
      </c>
      <c r="F28">
        <f t="shared" si="25"/>
        <v>2</v>
      </c>
      <c r="G28">
        <f t="shared" si="25"/>
        <v>4</v>
      </c>
      <c r="H28" t="str">
        <f t="shared" si="26"/>
        <v/>
      </c>
      <c r="I28" t="str">
        <f t="shared" si="26"/>
        <v/>
      </c>
      <c r="L28">
        <f t="shared" si="27"/>
        <v>2.3570226039551581</v>
      </c>
      <c r="M28">
        <f t="shared" si="28"/>
        <v>0.55901699437494745</v>
      </c>
      <c r="N28">
        <f t="shared" si="29"/>
        <v>3.3541019662496847</v>
      </c>
      <c r="O28">
        <f t="shared" si="30"/>
        <v>0.55901699437494745</v>
      </c>
      <c r="P28" t="str">
        <f t="shared" si="31"/>
        <v>B</v>
      </c>
      <c r="Q28">
        <f t="shared" si="32"/>
        <v>0</v>
      </c>
    </row>
    <row r="29" spans="1:45">
      <c r="A29">
        <f t="shared" si="22"/>
        <v>2</v>
      </c>
      <c r="B29">
        <f t="shared" si="22"/>
        <v>5</v>
      </c>
      <c r="C29" t="str">
        <f t="shared" si="23"/>
        <v>B</v>
      </c>
      <c r="D29" t="str">
        <f t="shared" si="24"/>
        <v/>
      </c>
      <c r="E29" t="str">
        <f t="shared" si="24"/>
        <v/>
      </c>
      <c r="F29">
        <f t="shared" si="25"/>
        <v>2</v>
      </c>
      <c r="G29">
        <f t="shared" si="25"/>
        <v>5</v>
      </c>
      <c r="H29" t="str">
        <f t="shared" si="26"/>
        <v/>
      </c>
      <c r="I29" t="str">
        <f t="shared" si="26"/>
        <v/>
      </c>
      <c r="L29">
        <f t="shared" si="27"/>
        <v>3.3499585403736298</v>
      </c>
      <c r="M29">
        <f t="shared" si="28"/>
        <v>1.3462912017836259</v>
      </c>
      <c r="N29">
        <f t="shared" si="29"/>
        <v>3.905124837953327</v>
      </c>
      <c r="O29">
        <f t="shared" si="30"/>
        <v>1.3462912017836259</v>
      </c>
      <c r="P29" t="str">
        <f t="shared" si="31"/>
        <v>B</v>
      </c>
      <c r="Q29">
        <f t="shared" si="32"/>
        <v>0</v>
      </c>
    </row>
    <row r="30" spans="1:45">
      <c r="A30">
        <f t="shared" si="22"/>
        <v>1</v>
      </c>
      <c r="B30">
        <f t="shared" si="22"/>
        <v>4</v>
      </c>
      <c r="C30" t="str">
        <f t="shared" si="23"/>
        <v>B</v>
      </c>
      <c r="D30" t="str">
        <f t="shared" si="24"/>
        <v/>
      </c>
      <c r="E30" t="str">
        <f t="shared" si="24"/>
        <v/>
      </c>
      <c r="F30">
        <f t="shared" si="25"/>
        <v>1</v>
      </c>
      <c r="G30">
        <f t="shared" si="25"/>
        <v>4</v>
      </c>
      <c r="H30" t="str">
        <f t="shared" si="26"/>
        <v/>
      </c>
      <c r="I30" t="str">
        <f t="shared" si="26"/>
        <v/>
      </c>
      <c r="L30">
        <f t="shared" si="27"/>
        <v>2.6874192494328497</v>
      </c>
      <c r="M30">
        <f t="shared" si="28"/>
        <v>0.55901699437494745</v>
      </c>
      <c r="N30">
        <f t="shared" si="29"/>
        <v>4.2720018726587652</v>
      </c>
      <c r="O30">
        <f t="shared" si="30"/>
        <v>0.55901699437494745</v>
      </c>
      <c r="P30" t="str">
        <f t="shared" si="31"/>
        <v>B</v>
      </c>
      <c r="Q30">
        <f t="shared" si="32"/>
        <v>0</v>
      </c>
    </row>
    <row r="31" spans="1:45">
      <c r="A31">
        <f t="shared" si="22"/>
        <v>5</v>
      </c>
      <c r="B31">
        <f t="shared" si="22"/>
        <v>2</v>
      </c>
      <c r="C31" t="str">
        <f t="shared" si="23"/>
        <v>C</v>
      </c>
      <c r="D31" t="str">
        <f t="shared" si="24"/>
        <v/>
      </c>
      <c r="E31" t="str">
        <f t="shared" si="24"/>
        <v/>
      </c>
      <c r="F31" t="str">
        <f t="shared" si="25"/>
        <v/>
      </c>
      <c r="G31" t="str">
        <f t="shared" si="25"/>
        <v/>
      </c>
      <c r="H31">
        <f t="shared" si="26"/>
        <v>5</v>
      </c>
      <c r="I31">
        <f t="shared" si="26"/>
        <v>2</v>
      </c>
      <c r="L31">
        <f t="shared" si="27"/>
        <v>2.6874192494328497</v>
      </c>
      <c r="M31">
        <f t="shared" si="28"/>
        <v>3.9131189606246322</v>
      </c>
      <c r="N31">
        <f t="shared" si="29"/>
        <v>0.5</v>
      </c>
      <c r="O31">
        <f t="shared" si="30"/>
        <v>0.5</v>
      </c>
      <c r="P31" t="str">
        <f t="shared" si="31"/>
        <v>C</v>
      </c>
      <c r="Q31">
        <f t="shared" si="32"/>
        <v>0</v>
      </c>
    </row>
    <row r="32" spans="1:45">
      <c r="A32">
        <f t="shared" si="22"/>
        <v>4</v>
      </c>
      <c r="B32">
        <f t="shared" si="22"/>
        <v>2</v>
      </c>
      <c r="C32" t="str">
        <f t="shared" si="23"/>
        <v>A</v>
      </c>
      <c r="D32">
        <f t="shared" si="24"/>
        <v>4</v>
      </c>
      <c r="E32">
        <f t="shared" si="24"/>
        <v>2</v>
      </c>
      <c r="F32" t="str">
        <f t="shared" si="25"/>
        <v/>
      </c>
      <c r="G32" t="str">
        <f t="shared" si="25"/>
        <v/>
      </c>
      <c r="H32" t="str">
        <f t="shared" si="26"/>
        <v/>
      </c>
      <c r="I32" t="str">
        <f t="shared" si="26"/>
        <v/>
      </c>
      <c r="L32">
        <f t="shared" si="27"/>
        <v>1.6996731711975948</v>
      </c>
      <c r="M32">
        <f t="shared" si="28"/>
        <v>3.0516389039334255</v>
      </c>
      <c r="N32">
        <f t="shared" si="29"/>
        <v>1.1180339887498949</v>
      </c>
      <c r="O32">
        <f t="shared" si="30"/>
        <v>1.1180339887498949</v>
      </c>
      <c r="P32" t="str">
        <f t="shared" si="31"/>
        <v>C</v>
      </c>
      <c r="Q32">
        <f t="shared" si="32"/>
        <v>1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17">
      <c r="A33">
        <f t="shared" si="22"/>
        <v>5</v>
      </c>
      <c r="B33">
        <f t="shared" si="22"/>
        <v>3</v>
      </c>
      <c r="C33" t="str">
        <f t="shared" si="23"/>
        <v>C</v>
      </c>
      <c r="D33" t="str">
        <f t="shared" si="24"/>
        <v/>
      </c>
      <c r="E33" t="str">
        <f t="shared" si="24"/>
        <v/>
      </c>
      <c r="F33" t="str">
        <f t="shared" si="25"/>
        <v/>
      </c>
      <c r="G33" t="str">
        <f t="shared" si="25"/>
        <v/>
      </c>
      <c r="H33">
        <f t="shared" si="26"/>
        <v>5</v>
      </c>
      <c r="I33">
        <f t="shared" si="26"/>
        <v>3</v>
      </c>
      <c r="L33">
        <f t="shared" si="27"/>
        <v>2.9814239699997196</v>
      </c>
      <c r="M33">
        <f t="shared" si="28"/>
        <v>3.5794552658190883</v>
      </c>
      <c r="N33">
        <f t="shared" si="29"/>
        <v>0.5</v>
      </c>
      <c r="O33">
        <f t="shared" si="30"/>
        <v>0.5</v>
      </c>
      <c r="P33" t="str">
        <f t="shared" si="31"/>
        <v>C</v>
      </c>
      <c r="Q33">
        <f t="shared" si="32"/>
        <v>0</v>
      </c>
    </row>
    <row r="34" spans="1:17">
      <c r="D34">
        <f t="shared" ref="D34:I34" si="33">AVERAGE(D25:D33)</f>
        <v>2.3333333333333335</v>
      </c>
      <c r="E34">
        <f t="shared" si="33"/>
        <v>1.6666666666666667</v>
      </c>
      <c r="F34">
        <f t="shared" si="33"/>
        <v>1.5</v>
      </c>
      <c r="G34">
        <f t="shared" si="33"/>
        <v>3.75</v>
      </c>
      <c r="H34">
        <f t="shared" si="33"/>
        <v>5</v>
      </c>
      <c r="I34">
        <f t="shared" si="33"/>
        <v>2.5</v>
      </c>
      <c r="Q34">
        <f>SUM(Q25:Q33)</f>
        <v>2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FFAC2-79DB-4E1D-8B05-811BECFEA8FA}">
  <dimension ref="A1:BA34"/>
  <sheetViews>
    <sheetView zoomScale="55" zoomScaleNormal="55" workbookViewId="0">
      <selection activeCell="R1" sqref="R1:R1048576"/>
    </sheetView>
  </sheetViews>
  <sheetFormatPr defaultRowHeight="18"/>
  <cols>
    <col min="19" max="54" width="3" customWidth="1"/>
    <col min="55" max="82" width="3.08203125" customWidth="1"/>
  </cols>
  <sheetData>
    <row r="1" spans="1:53">
      <c r="A1">
        <v>1</v>
      </c>
      <c r="B1">
        <v>1</v>
      </c>
      <c r="C1" t="s">
        <v>0</v>
      </c>
      <c r="D1">
        <f>IF($C1="A",A1,"")</f>
        <v>1</v>
      </c>
      <c r="E1">
        <f>IF($C1="A",B1,"")</f>
        <v>1</v>
      </c>
      <c r="F1" t="str">
        <f>IF($C1="B",A1,"")</f>
        <v/>
      </c>
      <c r="G1" t="str">
        <f>IF($C1="B",B1,"")</f>
        <v/>
      </c>
      <c r="H1" t="str">
        <f>IF($C1="C",A1,"")</f>
        <v/>
      </c>
      <c r="I1" t="str">
        <f>IF($C1="C",B1,"")</f>
        <v/>
      </c>
      <c r="J1">
        <f>D10</f>
        <v>2.6666666666666665</v>
      </c>
      <c r="K1">
        <f>E10</f>
        <v>2.3333333333333335</v>
      </c>
      <c r="L1">
        <f>SQRT((A1-D$10)^2+(B1-E$10)^2)</f>
        <v>2.1343747458109497</v>
      </c>
      <c r="M1">
        <f>SQRT((A1-F$10)^2+(B1-G$10)^2)</f>
        <v>2.4037008503093262</v>
      </c>
      <c r="N1">
        <f>SQRT((A1-H$10)^2+(B1-I$10)^2)</f>
        <v>2.6034165586355513</v>
      </c>
      <c r="O1">
        <f>MIN(L1:N1)</f>
        <v>2.1343747458109497</v>
      </c>
      <c r="P1" t="str">
        <f>IF(O1=L1,"A",IF(O1=M1,"B","C"))</f>
        <v>A</v>
      </c>
      <c r="Q1">
        <f>IF(C1=P1,0,1)</f>
        <v>0</v>
      </c>
    </row>
    <row r="2" spans="1:53">
      <c r="A2">
        <v>1</v>
      </c>
      <c r="B2">
        <v>2</v>
      </c>
      <c r="C2" t="s">
        <v>3</v>
      </c>
      <c r="D2" t="str">
        <f t="shared" ref="D2:E9" si="0">IF($C2="A",A2,"")</f>
        <v/>
      </c>
      <c r="E2" t="str">
        <f t="shared" si="0"/>
        <v/>
      </c>
      <c r="F2">
        <f t="shared" ref="F2:G9" si="1">IF($C2="B",A2,"")</f>
        <v>1</v>
      </c>
      <c r="G2">
        <f t="shared" si="1"/>
        <v>2</v>
      </c>
      <c r="H2" t="str">
        <f t="shared" ref="H2:I9" si="2">IF($C2="C",A2,"")</f>
        <v/>
      </c>
      <c r="I2" t="str">
        <f t="shared" si="2"/>
        <v/>
      </c>
      <c r="J2">
        <f>F10</f>
        <v>2.3333333333333335</v>
      </c>
      <c r="K2">
        <f>G10</f>
        <v>3</v>
      </c>
      <c r="L2">
        <f t="shared" ref="L2:L9" si="3">SQRT((A2-D$10)^2+(B2-E$10)^2)</f>
        <v>1.6996731711975948</v>
      </c>
      <c r="M2">
        <f t="shared" ref="M2:M9" si="4">SQRT((A2-F$10)^2+(B2-G$10)^2)</f>
        <v>1.6666666666666667</v>
      </c>
      <c r="N2">
        <f t="shared" ref="N2:N9" si="5">SQRT((A2-H$10)^2+(B2-I$10)^2)</f>
        <v>1.9436506316151001</v>
      </c>
      <c r="O2">
        <f t="shared" ref="O2:O9" si="6">MIN(L2:N2)</f>
        <v>1.6666666666666667</v>
      </c>
      <c r="P2" t="str">
        <f t="shared" ref="P2:P9" si="7">IF(O2=L2,"A",IF(O2=M2,"B","C"))</f>
        <v>B</v>
      </c>
      <c r="Q2">
        <f t="shared" ref="Q2:Q9" si="8">IF(C2=P2,0,1)</f>
        <v>0</v>
      </c>
    </row>
    <row r="3" spans="1:53">
      <c r="A3">
        <v>2</v>
      </c>
      <c r="B3">
        <v>2</v>
      </c>
      <c r="C3" t="s">
        <v>5</v>
      </c>
      <c r="D3" t="str">
        <f t="shared" si="0"/>
        <v/>
      </c>
      <c r="E3" t="str">
        <f t="shared" si="0"/>
        <v/>
      </c>
      <c r="F3" t="str">
        <f t="shared" si="1"/>
        <v/>
      </c>
      <c r="G3" t="str">
        <f t="shared" si="1"/>
        <v/>
      </c>
      <c r="H3">
        <f t="shared" si="2"/>
        <v>2</v>
      </c>
      <c r="I3">
        <f t="shared" si="2"/>
        <v>2</v>
      </c>
      <c r="J3">
        <f>H10</f>
        <v>2.6666666666666665</v>
      </c>
      <c r="K3">
        <f>I10</f>
        <v>3</v>
      </c>
      <c r="L3">
        <f t="shared" si="3"/>
        <v>0.74535599249992979</v>
      </c>
      <c r="M3">
        <f t="shared" si="4"/>
        <v>1.0540925533894598</v>
      </c>
      <c r="N3">
        <f t="shared" si="5"/>
        <v>1.2018504251546629</v>
      </c>
      <c r="O3">
        <f t="shared" si="6"/>
        <v>0.74535599249992979</v>
      </c>
      <c r="P3" t="str">
        <f t="shared" si="7"/>
        <v>A</v>
      </c>
      <c r="Q3">
        <f t="shared" si="8"/>
        <v>1</v>
      </c>
    </row>
    <row r="4" spans="1:53">
      <c r="A4">
        <v>2</v>
      </c>
      <c r="B4">
        <v>4</v>
      </c>
      <c r="C4" t="s">
        <v>1</v>
      </c>
      <c r="D4">
        <f t="shared" si="0"/>
        <v>2</v>
      </c>
      <c r="E4">
        <f t="shared" si="0"/>
        <v>4</v>
      </c>
      <c r="F4" t="str">
        <f t="shared" si="1"/>
        <v/>
      </c>
      <c r="G4" t="str">
        <f t="shared" si="1"/>
        <v/>
      </c>
      <c r="H4" t="str">
        <f t="shared" si="2"/>
        <v/>
      </c>
      <c r="I4" t="str">
        <f t="shared" si="2"/>
        <v/>
      </c>
      <c r="L4">
        <f t="shared" si="3"/>
        <v>1.7950549357115011</v>
      </c>
      <c r="M4">
        <f t="shared" si="4"/>
        <v>1.0540925533894598</v>
      </c>
      <c r="N4">
        <f t="shared" si="5"/>
        <v>1.2018504251546629</v>
      </c>
      <c r="O4">
        <f t="shared" si="6"/>
        <v>1.0540925533894598</v>
      </c>
      <c r="P4" t="str">
        <f t="shared" si="7"/>
        <v>B</v>
      </c>
      <c r="Q4">
        <f t="shared" si="8"/>
        <v>1</v>
      </c>
    </row>
    <row r="5" spans="1:53">
      <c r="A5">
        <v>2</v>
      </c>
      <c r="B5">
        <v>5</v>
      </c>
      <c r="C5" t="s">
        <v>3</v>
      </c>
      <c r="D5" t="str">
        <f t="shared" si="0"/>
        <v/>
      </c>
      <c r="E5" t="str">
        <f t="shared" si="0"/>
        <v/>
      </c>
      <c r="F5">
        <f t="shared" si="1"/>
        <v>2</v>
      </c>
      <c r="G5">
        <f t="shared" si="1"/>
        <v>5</v>
      </c>
      <c r="H5" t="str">
        <f t="shared" si="2"/>
        <v/>
      </c>
      <c r="I5" t="str">
        <f t="shared" si="2"/>
        <v/>
      </c>
      <c r="L5">
        <f t="shared" si="3"/>
        <v>2.7487370837451071</v>
      </c>
      <c r="M5">
        <f t="shared" si="4"/>
        <v>2.0275875100994067</v>
      </c>
      <c r="N5">
        <f t="shared" si="5"/>
        <v>2.1081851067789197</v>
      </c>
      <c r="O5">
        <f t="shared" si="6"/>
        <v>2.0275875100994067</v>
      </c>
      <c r="P5" t="str">
        <f t="shared" si="7"/>
        <v>B</v>
      </c>
      <c r="Q5">
        <f t="shared" si="8"/>
        <v>0</v>
      </c>
    </row>
    <row r="6" spans="1:53">
      <c r="A6">
        <v>1</v>
      </c>
      <c r="B6">
        <v>4</v>
      </c>
      <c r="C6" t="s">
        <v>5</v>
      </c>
      <c r="D6" t="str">
        <f t="shared" si="0"/>
        <v/>
      </c>
      <c r="E6" t="str">
        <f t="shared" si="0"/>
        <v/>
      </c>
      <c r="F6" t="str">
        <f t="shared" si="1"/>
        <v/>
      </c>
      <c r="G6" t="str">
        <f t="shared" si="1"/>
        <v/>
      </c>
      <c r="H6">
        <f t="shared" si="2"/>
        <v>1</v>
      </c>
      <c r="I6">
        <f t="shared" si="2"/>
        <v>4</v>
      </c>
      <c r="L6">
        <f t="shared" si="3"/>
        <v>2.3570226039551581</v>
      </c>
      <c r="M6">
        <f t="shared" si="4"/>
        <v>1.6666666666666667</v>
      </c>
      <c r="N6">
        <f t="shared" si="5"/>
        <v>1.9436506316151001</v>
      </c>
      <c r="O6">
        <f t="shared" si="6"/>
        <v>1.6666666666666667</v>
      </c>
      <c r="P6" t="str">
        <f t="shared" si="7"/>
        <v>B</v>
      </c>
      <c r="Q6">
        <f t="shared" si="8"/>
        <v>1</v>
      </c>
    </row>
    <row r="7" spans="1:53">
      <c r="A7">
        <v>5</v>
      </c>
      <c r="B7">
        <v>2</v>
      </c>
      <c r="C7" t="s">
        <v>1</v>
      </c>
      <c r="D7">
        <f t="shared" si="0"/>
        <v>5</v>
      </c>
      <c r="E7">
        <f t="shared" si="0"/>
        <v>2</v>
      </c>
      <c r="F7" t="str">
        <f t="shared" si="1"/>
        <v/>
      </c>
      <c r="G7" t="str">
        <f t="shared" si="1"/>
        <v/>
      </c>
      <c r="H7" t="str">
        <f t="shared" si="2"/>
        <v/>
      </c>
      <c r="I7" t="str">
        <f t="shared" si="2"/>
        <v/>
      </c>
      <c r="L7">
        <f t="shared" si="3"/>
        <v>2.3570226039551589</v>
      </c>
      <c r="M7">
        <f t="shared" si="4"/>
        <v>2.8480012484391768</v>
      </c>
      <c r="N7">
        <f t="shared" si="5"/>
        <v>2.5385910352879697</v>
      </c>
      <c r="O7">
        <f t="shared" si="6"/>
        <v>2.3570226039551589</v>
      </c>
      <c r="P7" t="str">
        <f t="shared" si="7"/>
        <v>A</v>
      </c>
      <c r="Q7">
        <f t="shared" si="8"/>
        <v>0</v>
      </c>
    </row>
    <row r="8" spans="1:53">
      <c r="A8">
        <v>4</v>
      </c>
      <c r="B8">
        <v>2</v>
      </c>
      <c r="C8" t="s">
        <v>3</v>
      </c>
      <c r="D8" t="str">
        <f t="shared" si="0"/>
        <v/>
      </c>
      <c r="E8" t="str">
        <f t="shared" si="0"/>
        <v/>
      </c>
      <c r="F8">
        <f t="shared" si="1"/>
        <v>4</v>
      </c>
      <c r="G8">
        <f t="shared" si="1"/>
        <v>2</v>
      </c>
      <c r="H8" t="str">
        <f t="shared" si="2"/>
        <v/>
      </c>
      <c r="I8" t="str">
        <f t="shared" si="2"/>
        <v/>
      </c>
      <c r="L8">
        <f t="shared" si="3"/>
        <v>1.3743685418725538</v>
      </c>
      <c r="M8">
        <f t="shared" si="4"/>
        <v>1.9436506316151001</v>
      </c>
      <c r="N8">
        <f t="shared" si="5"/>
        <v>1.6666666666666667</v>
      </c>
      <c r="O8">
        <f t="shared" si="6"/>
        <v>1.3743685418725538</v>
      </c>
      <c r="P8" t="str">
        <f t="shared" si="7"/>
        <v>A</v>
      </c>
      <c r="Q8">
        <f t="shared" si="8"/>
        <v>1</v>
      </c>
    </row>
    <row r="9" spans="1:53">
      <c r="A9">
        <v>5</v>
      </c>
      <c r="B9">
        <v>3</v>
      </c>
      <c r="C9" t="s">
        <v>4</v>
      </c>
      <c r="D9" t="str">
        <f t="shared" si="0"/>
        <v/>
      </c>
      <c r="E9" t="str">
        <f t="shared" si="0"/>
        <v/>
      </c>
      <c r="F9" t="str">
        <f t="shared" si="1"/>
        <v/>
      </c>
      <c r="G9" t="str">
        <f t="shared" si="1"/>
        <v/>
      </c>
      <c r="H9">
        <f t="shared" si="2"/>
        <v>5</v>
      </c>
      <c r="I9">
        <f t="shared" si="2"/>
        <v>3</v>
      </c>
      <c r="L9">
        <f t="shared" si="3"/>
        <v>2.4267032964268398</v>
      </c>
      <c r="M9">
        <f t="shared" si="4"/>
        <v>2.6666666666666665</v>
      </c>
      <c r="N9">
        <f t="shared" si="5"/>
        <v>2.3333333333333335</v>
      </c>
      <c r="O9">
        <f t="shared" si="6"/>
        <v>2.3333333333333335</v>
      </c>
      <c r="P9" t="str">
        <f t="shared" si="7"/>
        <v>C</v>
      </c>
      <c r="Q9">
        <f t="shared" si="8"/>
        <v>0</v>
      </c>
      <c r="AS9" s="1"/>
    </row>
    <row r="10" spans="1:53">
      <c r="D10">
        <f t="shared" ref="D10:I10" si="9">AVERAGE(D1:D9)</f>
        <v>2.6666666666666665</v>
      </c>
      <c r="E10">
        <f t="shared" si="9"/>
        <v>2.3333333333333335</v>
      </c>
      <c r="F10">
        <f t="shared" si="9"/>
        <v>2.3333333333333335</v>
      </c>
      <c r="G10">
        <f t="shared" si="9"/>
        <v>3</v>
      </c>
      <c r="H10">
        <f t="shared" si="9"/>
        <v>2.6666666666666665</v>
      </c>
      <c r="I10">
        <f t="shared" si="9"/>
        <v>3</v>
      </c>
      <c r="Q10">
        <f>SUM(Q1:Q9)</f>
        <v>4</v>
      </c>
      <c r="AS10" s="1"/>
    </row>
    <row r="11" spans="1:53">
      <c r="AS11" s="1"/>
    </row>
    <row r="12" spans="1:53">
      <c r="AS12" s="1"/>
      <c r="BA12" t="s">
        <v>6</v>
      </c>
    </row>
    <row r="13" spans="1:53">
      <c r="A13">
        <f>A1</f>
        <v>1</v>
      </c>
      <c r="B13">
        <f>B1</f>
        <v>1</v>
      </c>
      <c r="C13" t="str">
        <f>P1</f>
        <v>A</v>
      </c>
      <c r="D13">
        <f>IF($C13="A",A13,"")</f>
        <v>1</v>
      </c>
      <c r="E13">
        <f>IF($C13="A",B13,"")</f>
        <v>1</v>
      </c>
      <c r="F13" t="str">
        <f>IF($C13="B",A13,"")</f>
        <v/>
      </c>
      <c r="G13" t="str">
        <f>IF($C13="B",B13,"")</f>
        <v/>
      </c>
      <c r="H13" t="str">
        <f>IF($C13="C",A13,"")</f>
        <v/>
      </c>
      <c r="I13" t="str">
        <f>IF($C13="C",B13,"")</f>
        <v/>
      </c>
      <c r="J13">
        <f>D22</f>
        <v>3</v>
      </c>
      <c r="K13">
        <f>E22</f>
        <v>1.75</v>
      </c>
      <c r="L13">
        <f>SQRT((A13-D$22)^2+(B13-E$22)^2)</f>
        <v>2.1360009363293826</v>
      </c>
      <c r="M13">
        <f>SQRT((A13-F$22)^2+(B13-G$22)^2)</f>
        <v>2.7950849718747373</v>
      </c>
      <c r="N13">
        <f>SQRT((A13-H$22)^2+(B13-I$22)^2)</f>
        <v>4.4721359549995796</v>
      </c>
      <c r="O13">
        <f>MIN(L13:N13)</f>
        <v>2.1360009363293826</v>
      </c>
      <c r="P13" t="str">
        <f>IF(O13=L13,"A",IF(O13=M13,"B","C"))</f>
        <v>A</v>
      </c>
      <c r="Q13">
        <f>IF(C13=P13,0,1)</f>
        <v>0</v>
      </c>
      <c r="AS13" s="1"/>
    </row>
    <row r="14" spans="1:53">
      <c r="A14">
        <f t="shared" ref="A14:B21" si="10">A2</f>
        <v>1</v>
      </c>
      <c r="B14">
        <f t="shared" si="10"/>
        <v>2</v>
      </c>
      <c r="C14" t="str">
        <f t="shared" ref="C14:C21" si="11">P2</f>
        <v>B</v>
      </c>
      <c r="D14" t="str">
        <f t="shared" ref="D14:E21" si="12">IF($C14="A",A14,"")</f>
        <v/>
      </c>
      <c r="E14" t="str">
        <f t="shared" si="12"/>
        <v/>
      </c>
      <c r="F14">
        <f t="shared" ref="F14:G21" si="13">IF($C14="B",A14,"")</f>
        <v>1</v>
      </c>
      <c r="G14">
        <f t="shared" si="13"/>
        <v>2</v>
      </c>
      <c r="H14" t="str">
        <f t="shared" ref="H14:I21" si="14">IF($C14="C",A14,"")</f>
        <v/>
      </c>
      <c r="I14" t="str">
        <f t="shared" si="14"/>
        <v/>
      </c>
      <c r="J14">
        <f>F22</f>
        <v>1.5</v>
      </c>
      <c r="K14">
        <f>G22</f>
        <v>3.75</v>
      </c>
      <c r="L14">
        <f t="shared" ref="L14:L21" si="15">SQRT((A14-D$22)^2+(B14-E$22)^2)</f>
        <v>2.0155644370746373</v>
      </c>
      <c r="M14">
        <f t="shared" ref="M14:M21" si="16">SQRT((A14-F$22)^2+(B14-G$22)^2)</f>
        <v>1.8200274723201295</v>
      </c>
      <c r="N14">
        <f t="shared" ref="N14:N21" si="17">SQRT((A14-H$22)^2+(B14-I$22)^2)</f>
        <v>4.1231056256176606</v>
      </c>
      <c r="O14">
        <f t="shared" ref="O14:O21" si="18">MIN(L14:N14)</f>
        <v>1.8200274723201295</v>
      </c>
      <c r="P14" t="str">
        <f t="shared" ref="P14:P21" si="19">IF(O14=L14,"A",IF(O14=M14,"B","C"))</f>
        <v>B</v>
      </c>
      <c r="Q14">
        <f t="shared" ref="Q14:Q21" si="20">IF(C14=P14,0,1)</f>
        <v>0</v>
      </c>
      <c r="AS14" s="1"/>
    </row>
    <row r="15" spans="1:53">
      <c r="A15">
        <f t="shared" si="10"/>
        <v>2</v>
      </c>
      <c r="B15">
        <f t="shared" si="10"/>
        <v>2</v>
      </c>
      <c r="C15" t="str">
        <f t="shared" si="11"/>
        <v>A</v>
      </c>
      <c r="D15">
        <f t="shared" si="12"/>
        <v>2</v>
      </c>
      <c r="E15">
        <f t="shared" si="12"/>
        <v>2</v>
      </c>
      <c r="F15" t="str">
        <f t="shared" si="13"/>
        <v/>
      </c>
      <c r="G15" t="str">
        <f t="shared" si="13"/>
        <v/>
      </c>
      <c r="H15" t="str">
        <f t="shared" si="14"/>
        <v/>
      </c>
      <c r="I15" t="str">
        <f t="shared" si="14"/>
        <v/>
      </c>
      <c r="J15">
        <f>H22</f>
        <v>5</v>
      </c>
      <c r="K15">
        <f>I22</f>
        <v>3</v>
      </c>
      <c r="L15">
        <f t="shared" si="15"/>
        <v>1.0307764064044151</v>
      </c>
      <c r="M15">
        <f t="shared" si="16"/>
        <v>1.8200274723201295</v>
      </c>
      <c r="N15">
        <f t="shared" si="17"/>
        <v>3.1622776601683795</v>
      </c>
      <c r="O15">
        <f t="shared" si="18"/>
        <v>1.0307764064044151</v>
      </c>
      <c r="P15" t="str">
        <f t="shared" si="19"/>
        <v>A</v>
      </c>
      <c r="Q15">
        <f t="shared" si="20"/>
        <v>0</v>
      </c>
      <c r="AS15" s="1"/>
    </row>
    <row r="16" spans="1:53">
      <c r="A16">
        <f t="shared" si="10"/>
        <v>2</v>
      </c>
      <c r="B16">
        <f t="shared" si="10"/>
        <v>4</v>
      </c>
      <c r="C16" t="str">
        <f t="shared" si="11"/>
        <v>B</v>
      </c>
      <c r="D16" t="str">
        <f t="shared" si="12"/>
        <v/>
      </c>
      <c r="E16" t="str">
        <f t="shared" si="12"/>
        <v/>
      </c>
      <c r="F16">
        <f t="shared" si="13"/>
        <v>2</v>
      </c>
      <c r="G16">
        <f t="shared" si="13"/>
        <v>4</v>
      </c>
      <c r="H16" t="str">
        <f t="shared" si="14"/>
        <v/>
      </c>
      <c r="I16" t="str">
        <f t="shared" si="14"/>
        <v/>
      </c>
      <c r="L16">
        <f t="shared" si="15"/>
        <v>2.462214450449026</v>
      </c>
      <c r="M16">
        <f t="shared" si="16"/>
        <v>0.55901699437494745</v>
      </c>
      <c r="N16">
        <f t="shared" si="17"/>
        <v>3.1622776601683795</v>
      </c>
      <c r="O16">
        <f t="shared" si="18"/>
        <v>0.55901699437494745</v>
      </c>
      <c r="P16" t="str">
        <f t="shared" si="19"/>
        <v>B</v>
      </c>
      <c r="Q16">
        <f t="shared" si="20"/>
        <v>0</v>
      </c>
      <c r="AS16" s="1"/>
    </row>
    <row r="17" spans="1:45">
      <c r="A17">
        <f t="shared" si="10"/>
        <v>2</v>
      </c>
      <c r="B17">
        <f t="shared" si="10"/>
        <v>5</v>
      </c>
      <c r="C17" t="str">
        <f t="shared" si="11"/>
        <v>B</v>
      </c>
      <c r="D17" t="str">
        <f t="shared" si="12"/>
        <v/>
      </c>
      <c r="E17" t="str">
        <f t="shared" si="12"/>
        <v/>
      </c>
      <c r="F17">
        <f t="shared" si="13"/>
        <v>2</v>
      </c>
      <c r="G17">
        <f t="shared" si="13"/>
        <v>5</v>
      </c>
      <c r="H17" t="str">
        <f t="shared" si="14"/>
        <v/>
      </c>
      <c r="I17" t="str">
        <f t="shared" si="14"/>
        <v/>
      </c>
      <c r="L17">
        <f t="shared" si="15"/>
        <v>3.400367627183861</v>
      </c>
      <c r="M17">
        <f t="shared" si="16"/>
        <v>1.3462912017836259</v>
      </c>
      <c r="N17">
        <f t="shared" si="17"/>
        <v>3.6055512754639891</v>
      </c>
      <c r="O17">
        <f t="shared" si="18"/>
        <v>1.3462912017836259</v>
      </c>
      <c r="P17" t="str">
        <f t="shared" si="19"/>
        <v>B</v>
      </c>
      <c r="Q17">
        <f t="shared" si="20"/>
        <v>0</v>
      </c>
      <c r="AS17" s="1"/>
    </row>
    <row r="18" spans="1:45">
      <c r="A18">
        <f t="shared" si="10"/>
        <v>1</v>
      </c>
      <c r="B18">
        <f t="shared" si="10"/>
        <v>4</v>
      </c>
      <c r="C18" t="str">
        <f t="shared" si="11"/>
        <v>B</v>
      </c>
      <c r="D18" t="str">
        <f t="shared" si="12"/>
        <v/>
      </c>
      <c r="E18" t="str">
        <f t="shared" si="12"/>
        <v/>
      </c>
      <c r="F18">
        <f t="shared" si="13"/>
        <v>1</v>
      </c>
      <c r="G18">
        <f t="shared" si="13"/>
        <v>4</v>
      </c>
      <c r="H18" t="str">
        <f t="shared" si="14"/>
        <v/>
      </c>
      <c r="I18" t="str">
        <f t="shared" si="14"/>
        <v/>
      </c>
      <c r="L18">
        <f t="shared" si="15"/>
        <v>3.0103986446980739</v>
      </c>
      <c r="M18">
        <f t="shared" si="16"/>
        <v>0.55901699437494745</v>
      </c>
      <c r="N18">
        <f t="shared" si="17"/>
        <v>4.1231056256176606</v>
      </c>
      <c r="O18">
        <f t="shared" si="18"/>
        <v>0.55901699437494745</v>
      </c>
      <c r="P18" t="str">
        <f t="shared" si="19"/>
        <v>B</v>
      </c>
      <c r="Q18">
        <f t="shared" si="20"/>
        <v>0</v>
      </c>
      <c r="AS18" s="1"/>
    </row>
    <row r="19" spans="1:45">
      <c r="A19">
        <f t="shared" si="10"/>
        <v>5</v>
      </c>
      <c r="B19">
        <f t="shared" si="10"/>
        <v>2</v>
      </c>
      <c r="C19" t="str">
        <f t="shared" si="11"/>
        <v>A</v>
      </c>
      <c r="D19">
        <f t="shared" si="12"/>
        <v>5</v>
      </c>
      <c r="E19">
        <f t="shared" si="12"/>
        <v>2</v>
      </c>
      <c r="F19" t="str">
        <f t="shared" si="13"/>
        <v/>
      </c>
      <c r="G19" t="str">
        <f t="shared" si="13"/>
        <v/>
      </c>
      <c r="H19" t="str">
        <f t="shared" si="14"/>
        <v/>
      </c>
      <c r="I19" t="str">
        <f t="shared" si="14"/>
        <v/>
      </c>
      <c r="L19">
        <f t="shared" si="15"/>
        <v>2.0155644370746373</v>
      </c>
      <c r="M19">
        <f t="shared" si="16"/>
        <v>3.9131189606246322</v>
      </c>
      <c r="N19">
        <f t="shared" si="17"/>
        <v>1</v>
      </c>
      <c r="O19">
        <f t="shared" si="18"/>
        <v>1</v>
      </c>
      <c r="P19" t="str">
        <f t="shared" si="19"/>
        <v>C</v>
      </c>
      <c r="Q19">
        <f t="shared" si="20"/>
        <v>1</v>
      </c>
      <c r="AS19" s="1"/>
    </row>
    <row r="20" spans="1:45">
      <c r="A20">
        <f t="shared" si="10"/>
        <v>4</v>
      </c>
      <c r="B20">
        <f t="shared" si="10"/>
        <v>2</v>
      </c>
      <c r="C20" t="str">
        <f t="shared" si="11"/>
        <v>A</v>
      </c>
      <c r="D20">
        <f t="shared" si="12"/>
        <v>4</v>
      </c>
      <c r="E20">
        <f t="shared" si="12"/>
        <v>2</v>
      </c>
      <c r="F20" t="str">
        <f t="shared" si="13"/>
        <v/>
      </c>
      <c r="G20" t="str">
        <f t="shared" si="13"/>
        <v/>
      </c>
      <c r="H20" t="str">
        <f t="shared" si="14"/>
        <v/>
      </c>
      <c r="I20" t="str">
        <f t="shared" si="14"/>
        <v/>
      </c>
      <c r="L20">
        <f t="shared" si="15"/>
        <v>1.0307764064044151</v>
      </c>
      <c r="M20">
        <f t="shared" si="16"/>
        <v>3.0516389039334255</v>
      </c>
      <c r="N20">
        <f t="shared" si="17"/>
        <v>1.4142135623730951</v>
      </c>
      <c r="O20">
        <f t="shared" si="18"/>
        <v>1.0307764064044151</v>
      </c>
      <c r="P20" t="str">
        <f t="shared" si="19"/>
        <v>A</v>
      </c>
      <c r="Q20">
        <f t="shared" si="20"/>
        <v>0</v>
      </c>
      <c r="AS20" s="1"/>
    </row>
    <row r="21" spans="1:45">
      <c r="A21">
        <f t="shared" si="10"/>
        <v>5</v>
      </c>
      <c r="B21">
        <f t="shared" si="10"/>
        <v>3</v>
      </c>
      <c r="C21" t="str">
        <f t="shared" si="11"/>
        <v>C</v>
      </c>
      <c r="D21" t="str">
        <f t="shared" si="12"/>
        <v/>
      </c>
      <c r="E21" t="str">
        <f t="shared" si="12"/>
        <v/>
      </c>
      <c r="F21" t="str">
        <f t="shared" si="13"/>
        <v/>
      </c>
      <c r="G21" t="str">
        <f t="shared" si="13"/>
        <v/>
      </c>
      <c r="H21">
        <f t="shared" si="14"/>
        <v>5</v>
      </c>
      <c r="I21">
        <f t="shared" si="14"/>
        <v>3</v>
      </c>
      <c r="L21">
        <f t="shared" si="15"/>
        <v>2.3584952830141508</v>
      </c>
      <c r="M21">
        <f t="shared" si="16"/>
        <v>3.5794552658190883</v>
      </c>
      <c r="N21">
        <f t="shared" si="17"/>
        <v>0</v>
      </c>
      <c r="O21">
        <f t="shared" si="18"/>
        <v>0</v>
      </c>
      <c r="P21" t="str">
        <f t="shared" si="19"/>
        <v>C</v>
      </c>
      <c r="Q21">
        <f t="shared" si="20"/>
        <v>0</v>
      </c>
      <c r="AS21" s="1"/>
    </row>
    <row r="22" spans="1:45">
      <c r="D22">
        <f t="shared" ref="D22:I22" si="21">AVERAGE(D13:D21)</f>
        <v>3</v>
      </c>
      <c r="E22">
        <f t="shared" si="21"/>
        <v>1.75</v>
      </c>
      <c r="F22">
        <f t="shared" si="21"/>
        <v>1.5</v>
      </c>
      <c r="G22">
        <f t="shared" si="21"/>
        <v>3.75</v>
      </c>
      <c r="H22">
        <f t="shared" si="21"/>
        <v>5</v>
      </c>
      <c r="I22">
        <f t="shared" si="21"/>
        <v>3</v>
      </c>
      <c r="Q22">
        <f>SUM(Q13:Q21)</f>
        <v>1</v>
      </c>
      <c r="AS22" s="1"/>
    </row>
    <row r="23" spans="1:45">
      <c r="AS23" s="1"/>
    </row>
    <row r="24" spans="1:45">
      <c r="AS24" s="1"/>
    </row>
    <row r="25" spans="1:45">
      <c r="A25">
        <f>A13</f>
        <v>1</v>
      </c>
      <c r="B25">
        <f>B13</f>
        <v>1</v>
      </c>
      <c r="C25" t="str">
        <f>P13</f>
        <v>A</v>
      </c>
      <c r="D25">
        <f>IF($C25="A",A25,"")</f>
        <v>1</v>
      </c>
      <c r="E25">
        <f>IF($C25="A",B25,"")</f>
        <v>1</v>
      </c>
      <c r="F25" t="str">
        <f>IF($C25="B",A25,"")</f>
        <v/>
      </c>
      <c r="G25" t="str">
        <f>IF($C25="B",B25,"")</f>
        <v/>
      </c>
      <c r="H25" t="str">
        <f>IF($C25="C",A25,"")</f>
        <v/>
      </c>
      <c r="I25" t="str">
        <f>IF($C25="C",B25,"")</f>
        <v/>
      </c>
      <c r="J25">
        <f>D34</f>
        <v>2.3333333333333335</v>
      </c>
      <c r="K25">
        <f>E34</f>
        <v>1.6666666666666667</v>
      </c>
      <c r="L25">
        <f>SQRT((A25-D$34)^2+(B25-E$34)^2)</f>
        <v>1.49071198499986</v>
      </c>
      <c r="M25">
        <f>SQRT((A25-F$34)^2+(B25-G$34)^2)</f>
        <v>2.7950849718747373</v>
      </c>
      <c r="N25">
        <f>SQRT((A25-H$34)^2+(B25-I$34)^2)</f>
        <v>4.2720018726587652</v>
      </c>
      <c r="O25">
        <f>MIN(L25:N25)</f>
        <v>1.49071198499986</v>
      </c>
      <c r="P25" t="str">
        <f>IF(O25=L25,"A",IF(O25=M25,"B","C"))</f>
        <v>A</v>
      </c>
      <c r="Q25">
        <f>IF(C25=P25,0,1)</f>
        <v>0</v>
      </c>
      <c r="AS25" s="1"/>
    </row>
    <row r="26" spans="1:45">
      <c r="A26">
        <f t="shared" ref="A26:B33" si="22">A14</f>
        <v>1</v>
      </c>
      <c r="B26">
        <f t="shared" si="22"/>
        <v>2</v>
      </c>
      <c r="C26" t="str">
        <f t="shared" ref="C26:C33" si="23">P14</f>
        <v>B</v>
      </c>
      <c r="D26" t="str">
        <f t="shared" ref="D26:E33" si="24">IF($C26="A",A26,"")</f>
        <v/>
      </c>
      <c r="E26" t="str">
        <f t="shared" si="24"/>
        <v/>
      </c>
      <c r="F26">
        <f t="shared" ref="F26:G33" si="25">IF($C26="B",A26,"")</f>
        <v>1</v>
      </c>
      <c r="G26">
        <f t="shared" si="25"/>
        <v>2</v>
      </c>
      <c r="H26" t="str">
        <f t="shared" ref="H26:I33" si="26">IF($C26="C",A26,"")</f>
        <v/>
      </c>
      <c r="I26" t="str">
        <f t="shared" si="26"/>
        <v/>
      </c>
      <c r="J26">
        <f>F34</f>
        <v>1.5</v>
      </c>
      <c r="K26">
        <f>G34</f>
        <v>3.75</v>
      </c>
      <c r="L26">
        <f t="shared" ref="L26:L33" si="27">SQRT((A26-D$34)^2+(B26-E$34)^2)</f>
        <v>1.3743685418725538</v>
      </c>
      <c r="M26">
        <f t="shared" ref="M26:M33" si="28">SQRT((A26-F$34)^2+(B26-G$34)^2)</f>
        <v>1.8200274723201295</v>
      </c>
      <c r="N26">
        <f t="shared" ref="N26:N33" si="29">SQRT((A26-H$34)^2+(B26-I$34)^2)</f>
        <v>4.0311288741492746</v>
      </c>
      <c r="O26">
        <f t="shared" ref="O26:O33" si="30">MIN(L26:N26)</f>
        <v>1.3743685418725538</v>
      </c>
      <c r="P26" t="str">
        <f t="shared" ref="P26:P33" si="31">IF(O26=L26,"A",IF(O26=M26,"B","C"))</f>
        <v>A</v>
      </c>
      <c r="Q26">
        <f t="shared" ref="Q26:Q33" si="32">IF(C26=P26,0,1)</f>
        <v>1</v>
      </c>
      <c r="AS26" s="1"/>
    </row>
    <row r="27" spans="1:45">
      <c r="A27">
        <f t="shared" si="22"/>
        <v>2</v>
      </c>
      <c r="B27">
        <f t="shared" si="22"/>
        <v>2</v>
      </c>
      <c r="C27" t="str">
        <f t="shared" si="23"/>
        <v>A</v>
      </c>
      <c r="D27">
        <f t="shared" si="24"/>
        <v>2</v>
      </c>
      <c r="E27">
        <f t="shared" si="24"/>
        <v>2</v>
      </c>
      <c r="F27" t="str">
        <f t="shared" si="25"/>
        <v/>
      </c>
      <c r="G27" t="str">
        <f t="shared" si="25"/>
        <v/>
      </c>
      <c r="H27" t="str">
        <f t="shared" si="26"/>
        <v/>
      </c>
      <c r="I27" t="str">
        <f t="shared" si="26"/>
        <v/>
      </c>
      <c r="J27">
        <f>H34</f>
        <v>5</v>
      </c>
      <c r="K27">
        <f>I34</f>
        <v>2.5</v>
      </c>
      <c r="L27">
        <f t="shared" si="27"/>
        <v>0.47140452079103173</v>
      </c>
      <c r="M27">
        <f t="shared" si="28"/>
        <v>1.8200274723201295</v>
      </c>
      <c r="N27">
        <f t="shared" si="29"/>
        <v>3.0413812651491097</v>
      </c>
      <c r="O27">
        <f t="shared" si="30"/>
        <v>0.47140452079103173</v>
      </c>
      <c r="P27" t="str">
        <f t="shared" si="31"/>
        <v>A</v>
      </c>
      <c r="Q27">
        <f t="shared" si="32"/>
        <v>0</v>
      </c>
      <c r="AS27" s="1"/>
    </row>
    <row r="28" spans="1:45">
      <c r="A28">
        <f t="shared" si="22"/>
        <v>2</v>
      </c>
      <c r="B28">
        <f t="shared" si="22"/>
        <v>4</v>
      </c>
      <c r="C28" t="str">
        <f t="shared" si="23"/>
        <v>B</v>
      </c>
      <c r="D28" t="str">
        <f t="shared" si="24"/>
        <v/>
      </c>
      <c r="E28" t="str">
        <f t="shared" si="24"/>
        <v/>
      </c>
      <c r="F28">
        <f t="shared" si="25"/>
        <v>2</v>
      </c>
      <c r="G28">
        <f t="shared" si="25"/>
        <v>4</v>
      </c>
      <c r="H28" t="str">
        <f t="shared" si="26"/>
        <v/>
      </c>
      <c r="I28" t="str">
        <f t="shared" si="26"/>
        <v/>
      </c>
      <c r="L28">
        <f t="shared" si="27"/>
        <v>2.3570226039551581</v>
      </c>
      <c r="M28">
        <f t="shared" si="28"/>
        <v>0.55901699437494745</v>
      </c>
      <c r="N28">
        <f t="shared" si="29"/>
        <v>3.3541019662496847</v>
      </c>
      <c r="O28">
        <f t="shared" si="30"/>
        <v>0.55901699437494745</v>
      </c>
      <c r="P28" t="str">
        <f t="shared" si="31"/>
        <v>B</v>
      </c>
      <c r="Q28">
        <f t="shared" si="32"/>
        <v>0</v>
      </c>
    </row>
    <row r="29" spans="1:45">
      <c r="A29">
        <f t="shared" si="22"/>
        <v>2</v>
      </c>
      <c r="B29">
        <f t="shared" si="22"/>
        <v>5</v>
      </c>
      <c r="C29" t="str">
        <f t="shared" si="23"/>
        <v>B</v>
      </c>
      <c r="D29" t="str">
        <f t="shared" si="24"/>
        <v/>
      </c>
      <c r="E29" t="str">
        <f t="shared" si="24"/>
        <v/>
      </c>
      <c r="F29">
        <f t="shared" si="25"/>
        <v>2</v>
      </c>
      <c r="G29">
        <f t="shared" si="25"/>
        <v>5</v>
      </c>
      <c r="H29" t="str">
        <f t="shared" si="26"/>
        <v/>
      </c>
      <c r="I29" t="str">
        <f t="shared" si="26"/>
        <v/>
      </c>
      <c r="L29">
        <f t="shared" si="27"/>
        <v>3.3499585403736298</v>
      </c>
      <c r="M29">
        <f t="shared" si="28"/>
        <v>1.3462912017836259</v>
      </c>
      <c r="N29">
        <f t="shared" si="29"/>
        <v>3.905124837953327</v>
      </c>
      <c r="O29">
        <f t="shared" si="30"/>
        <v>1.3462912017836259</v>
      </c>
      <c r="P29" t="str">
        <f t="shared" si="31"/>
        <v>B</v>
      </c>
      <c r="Q29">
        <f t="shared" si="32"/>
        <v>0</v>
      </c>
    </row>
    <row r="30" spans="1:45">
      <c r="A30">
        <f t="shared" si="22"/>
        <v>1</v>
      </c>
      <c r="B30">
        <f t="shared" si="22"/>
        <v>4</v>
      </c>
      <c r="C30" t="str">
        <f t="shared" si="23"/>
        <v>B</v>
      </c>
      <c r="D30" t="str">
        <f t="shared" si="24"/>
        <v/>
      </c>
      <c r="E30" t="str">
        <f t="shared" si="24"/>
        <v/>
      </c>
      <c r="F30">
        <f t="shared" si="25"/>
        <v>1</v>
      </c>
      <c r="G30">
        <f t="shared" si="25"/>
        <v>4</v>
      </c>
      <c r="H30" t="str">
        <f t="shared" si="26"/>
        <v/>
      </c>
      <c r="I30" t="str">
        <f t="shared" si="26"/>
        <v/>
      </c>
      <c r="L30">
        <f t="shared" si="27"/>
        <v>2.6874192494328497</v>
      </c>
      <c r="M30">
        <f t="shared" si="28"/>
        <v>0.55901699437494745</v>
      </c>
      <c r="N30">
        <f t="shared" si="29"/>
        <v>4.2720018726587652</v>
      </c>
      <c r="O30">
        <f t="shared" si="30"/>
        <v>0.55901699437494745</v>
      </c>
      <c r="P30" t="str">
        <f t="shared" si="31"/>
        <v>B</v>
      </c>
      <c r="Q30">
        <f t="shared" si="32"/>
        <v>0</v>
      </c>
    </row>
    <row r="31" spans="1:45">
      <c r="A31">
        <f t="shared" si="22"/>
        <v>5</v>
      </c>
      <c r="B31">
        <f t="shared" si="22"/>
        <v>2</v>
      </c>
      <c r="C31" t="str">
        <f t="shared" si="23"/>
        <v>C</v>
      </c>
      <c r="D31" t="str">
        <f t="shared" si="24"/>
        <v/>
      </c>
      <c r="E31" t="str">
        <f t="shared" si="24"/>
        <v/>
      </c>
      <c r="F31" t="str">
        <f t="shared" si="25"/>
        <v/>
      </c>
      <c r="G31" t="str">
        <f t="shared" si="25"/>
        <v/>
      </c>
      <c r="H31">
        <f t="shared" si="26"/>
        <v>5</v>
      </c>
      <c r="I31">
        <f t="shared" si="26"/>
        <v>2</v>
      </c>
      <c r="L31">
        <f t="shared" si="27"/>
        <v>2.6874192494328497</v>
      </c>
      <c r="M31">
        <f t="shared" si="28"/>
        <v>3.9131189606246322</v>
      </c>
      <c r="N31">
        <f t="shared" si="29"/>
        <v>0.5</v>
      </c>
      <c r="O31">
        <f t="shared" si="30"/>
        <v>0.5</v>
      </c>
      <c r="P31" t="str">
        <f t="shared" si="31"/>
        <v>C</v>
      </c>
      <c r="Q31">
        <f t="shared" si="32"/>
        <v>0</v>
      </c>
    </row>
    <row r="32" spans="1:45">
      <c r="A32">
        <f t="shared" si="22"/>
        <v>4</v>
      </c>
      <c r="B32">
        <f t="shared" si="22"/>
        <v>2</v>
      </c>
      <c r="C32" t="str">
        <f t="shared" si="23"/>
        <v>A</v>
      </c>
      <c r="D32">
        <f t="shared" si="24"/>
        <v>4</v>
      </c>
      <c r="E32">
        <f t="shared" si="24"/>
        <v>2</v>
      </c>
      <c r="F32" t="str">
        <f t="shared" si="25"/>
        <v/>
      </c>
      <c r="G32" t="str">
        <f t="shared" si="25"/>
        <v/>
      </c>
      <c r="H32" t="str">
        <f t="shared" si="26"/>
        <v/>
      </c>
      <c r="I32" t="str">
        <f t="shared" si="26"/>
        <v/>
      </c>
      <c r="L32">
        <f t="shared" si="27"/>
        <v>1.6996731711975948</v>
      </c>
      <c r="M32">
        <f t="shared" si="28"/>
        <v>3.0516389039334255</v>
      </c>
      <c r="N32">
        <f t="shared" si="29"/>
        <v>1.1180339887498949</v>
      </c>
      <c r="O32">
        <f t="shared" si="30"/>
        <v>1.1180339887498949</v>
      </c>
      <c r="P32" t="str">
        <f t="shared" si="31"/>
        <v>C</v>
      </c>
      <c r="Q32">
        <f t="shared" si="32"/>
        <v>1</v>
      </c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</row>
    <row r="33" spans="1:17">
      <c r="A33">
        <f t="shared" si="22"/>
        <v>5</v>
      </c>
      <c r="B33">
        <f t="shared" si="22"/>
        <v>3</v>
      </c>
      <c r="C33" t="str">
        <f t="shared" si="23"/>
        <v>C</v>
      </c>
      <c r="D33" t="str">
        <f t="shared" si="24"/>
        <v/>
      </c>
      <c r="E33" t="str">
        <f t="shared" si="24"/>
        <v/>
      </c>
      <c r="F33" t="str">
        <f t="shared" si="25"/>
        <v/>
      </c>
      <c r="G33" t="str">
        <f t="shared" si="25"/>
        <v/>
      </c>
      <c r="H33">
        <f t="shared" si="26"/>
        <v>5</v>
      </c>
      <c r="I33">
        <f t="shared" si="26"/>
        <v>3</v>
      </c>
      <c r="L33">
        <f t="shared" si="27"/>
        <v>2.9814239699997196</v>
      </c>
      <c r="M33">
        <f t="shared" si="28"/>
        <v>3.5794552658190883</v>
      </c>
      <c r="N33">
        <f t="shared" si="29"/>
        <v>0.5</v>
      </c>
      <c r="O33">
        <f t="shared" si="30"/>
        <v>0.5</v>
      </c>
      <c r="P33" t="str">
        <f t="shared" si="31"/>
        <v>C</v>
      </c>
      <c r="Q33">
        <f t="shared" si="32"/>
        <v>0</v>
      </c>
    </row>
    <row r="34" spans="1:17">
      <c r="D34">
        <f t="shared" ref="D34:I34" si="33">AVERAGE(D25:D33)</f>
        <v>2.3333333333333335</v>
      </c>
      <c r="E34">
        <f t="shared" si="33"/>
        <v>1.6666666666666667</v>
      </c>
      <c r="F34">
        <f t="shared" si="33"/>
        <v>1.5</v>
      </c>
      <c r="G34">
        <f t="shared" si="33"/>
        <v>3.75</v>
      </c>
      <c r="H34">
        <f t="shared" si="33"/>
        <v>5</v>
      </c>
      <c r="I34">
        <f t="shared" si="33"/>
        <v>2.5</v>
      </c>
      <c r="Q34">
        <f>SUM(Q25:Q33)</f>
        <v>2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77DF8-337B-4990-BCA8-7C5053DC6FD1}">
  <dimension ref="A1:BP34"/>
  <sheetViews>
    <sheetView zoomScale="55" zoomScaleNormal="55" workbookViewId="0">
      <selection activeCell="B8" sqref="B8"/>
    </sheetView>
  </sheetViews>
  <sheetFormatPr defaultRowHeight="18"/>
  <cols>
    <col min="34" max="69" width="3" customWidth="1"/>
    <col min="70" max="97" width="3.08203125" customWidth="1"/>
  </cols>
  <sheetData>
    <row r="1" spans="1:68">
      <c r="A1">
        <v>1</v>
      </c>
      <c r="B1">
        <v>1</v>
      </c>
      <c r="C1" t="s">
        <v>0</v>
      </c>
      <c r="D1">
        <f>IF($C1="A",A1,"")</f>
        <v>1</v>
      </c>
      <c r="E1">
        <f>IF($C1="A",B1,"")</f>
        <v>1</v>
      </c>
      <c r="F1" t="str">
        <f>IF($C1="B",A1,"")</f>
        <v/>
      </c>
      <c r="G1" t="str">
        <f>IF($C1="B",B1,"")</f>
        <v/>
      </c>
      <c r="H1" t="str">
        <f>IF($C1="C",A1,"")</f>
        <v/>
      </c>
      <c r="I1" t="str">
        <f>IF($C1="C",B1,"")</f>
        <v/>
      </c>
      <c r="J1">
        <f>D10</f>
        <v>2.6666666666666665</v>
      </c>
      <c r="K1">
        <f>E10</f>
        <v>2.3333333333333335</v>
      </c>
      <c r="L1">
        <f>SQRT((A1-D$10)^2+(B1-E$10)^2)</f>
        <v>2.1343747458109497</v>
      </c>
      <c r="M1">
        <f>SQRT((A1-F$10)^2+(B1-G$10)^2)</f>
        <v>2.4037008503093262</v>
      </c>
      <c r="N1">
        <f>SQRT((A1-H$10)^2+(B1-I$10)^2)</f>
        <v>2.6034165586355513</v>
      </c>
      <c r="O1">
        <f>MIN(L1:N1)</f>
        <v>2.1343747458109497</v>
      </c>
      <c r="P1" t="str">
        <f>IF(O1=L1,"A",IF(O1=M1,"B","C"))</f>
        <v>A</v>
      </c>
      <c r="Q1">
        <f>IF(C1=P1,0,1)</f>
        <v>0</v>
      </c>
      <c r="S1">
        <f>IF(D1&lt;&gt;"",D1,-1)</f>
        <v>1</v>
      </c>
      <c r="T1">
        <f t="shared" ref="T1:X9" si="0">IF(E1&lt;&gt;"",E1,-1)</f>
        <v>1</v>
      </c>
      <c r="U1">
        <f t="shared" si="0"/>
        <v>-1</v>
      </c>
      <c r="V1">
        <f t="shared" si="0"/>
        <v>-1</v>
      </c>
      <c r="W1">
        <f t="shared" si="0"/>
        <v>-1</v>
      </c>
      <c r="X1">
        <f t="shared" si="0"/>
        <v>-1</v>
      </c>
      <c r="Y1">
        <f>D10</f>
        <v>2.6666666666666665</v>
      </c>
      <c r="Z1">
        <f t="shared" ref="Z1:AD1" si="1">E10</f>
        <v>2.3333333333333335</v>
      </c>
      <c r="AA1">
        <f t="shared" si="1"/>
        <v>2.3333333333333335</v>
      </c>
      <c r="AB1">
        <f t="shared" si="1"/>
        <v>3</v>
      </c>
      <c r="AC1">
        <f t="shared" si="1"/>
        <v>2.6666666666666665</v>
      </c>
      <c r="AD1">
        <f t="shared" si="1"/>
        <v>3</v>
      </c>
    </row>
    <row r="2" spans="1:68">
      <c r="A2">
        <v>1</v>
      </c>
      <c r="B2">
        <v>2</v>
      </c>
      <c r="C2" t="s">
        <v>3</v>
      </c>
      <c r="D2" t="str">
        <f t="shared" ref="D2:E9" si="2">IF($C2="A",A2,"")</f>
        <v/>
      </c>
      <c r="E2" t="str">
        <f t="shared" si="2"/>
        <v/>
      </c>
      <c r="F2">
        <f t="shared" ref="F2:G9" si="3">IF($C2="B",A2,"")</f>
        <v>1</v>
      </c>
      <c r="G2">
        <f t="shared" si="3"/>
        <v>2</v>
      </c>
      <c r="H2" t="str">
        <f t="shared" ref="H2:I9" si="4">IF($C2="C",A2,"")</f>
        <v/>
      </c>
      <c r="I2" t="str">
        <f t="shared" si="4"/>
        <v/>
      </c>
      <c r="J2">
        <f>F10</f>
        <v>2.3333333333333335</v>
      </c>
      <c r="K2">
        <f>G10</f>
        <v>3</v>
      </c>
      <c r="L2">
        <f t="shared" ref="L2:L9" si="5">SQRT((A2-D$10)^2+(B2-E$10)^2)</f>
        <v>1.6996731711975948</v>
      </c>
      <c r="M2">
        <f t="shared" ref="M2:M9" si="6">SQRT((A2-F$10)^2+(B2-G$10)^2)</f>
        <v>1.6666666666666667</v>
      </c>
      <c r="N2">
        <f t="shared" ref="N2:N9" si="7">SQRT((A2-H$10)^2+(B2-I$10)^2)</f>
        <v>1.9436506316151001</v>
      </c>
      <c r="O2">
        <f t="shared" ref="O2:O9" si="8">MIN(L2:N2)</f>
        <v>1.6666666666666667</v>
      </c>
      <c r="P2" t="str">
        <f t="shared" ref="P2:P9" si="9">IF(O2=L2,"A",IF(O2=M2,"B","C"))</f>
        <v>B</v>
      </c>
      <c r="Q2">
        <f t="shared" ref="Q2:Q9" si="10">IF(C2=P2,0,1)</f>
        <v>0</v>
      </c>
      <c r="S2">
        <f t="shared" ref="S2:S9" si="11">IF(D2&lt;&gt;"",D2,-1)</f>
        <v>-1</v>
      </c>
      <c r="T2">
        <f t="shared" si="0"/>
        <v>-1</v>
      </c>
      <c r="U2">
        <f t="shared" si="0"/>
        <v>1</v>
      </c>
      <c r="V2">
        <f t="shared" si="0"/>
        <v>2</v>
      </c>
      <c r="W2">
        <f t="shared" si="0"/>
        <v>-1</v>
      </c>
      <c r="X2">
        <f t="shared" si="0"/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BH2" s="1"/>
    </row>
    <row r="3" spans="1:68">
      <c r="A3">
        <v>2</v>
      </c>
      <c r="B3">
        <v>2</v>
      </c>
      <c r="C3" t="s">
        <v>5</v>
      </c>
      <c r="D3" t="str">
        <f t="shared" si="2"/>
        <v/>
      </c>
      <c r="E3" t="str">
        <f t="shared" si="2"/>
        <v/>
      </c>
      <c r="F3" t="str">
        <f t="shared" si="3"/>
        <v/>
      </c>
      <c r="G3" t="str">
        <f t="shared" si="3"/>
        <v/>
      </c>
      <c r="H3">
        <f t="shared" si="4"/>
        <v>2</v>
      </c>
      <c r="I3">
        <f t="shared" si="4"/>
        <v>2</v>
      </c>
      <c r="J3">
        <f>H10</f>
        <v>2.6666666666666665</v>
      </c>
      <c r="K3">
        <f>I10</f>
        <v>3</v>
      </c>
      <c r="L3">
        <f t="shared" si="5"/>
        <v>0.74535599249992979</v>
      </c>
      <c r="M3">
        <f t="shared" si="6"/>
        <v>1.0540925533894598</v>
      </c>
      <c r="N3">
        <f t="shared" si="7"/>
        <v>1.2018504251546629</v>
      </c>
      <c r="O3">
        <f t="shared" si="8"/>
        <v>0.74535599249992979</v>
      </c>
      <c r="P3" t="str">
        <f t="shared" si="9"/>
        <v>A</v>
      </c>
      <c r="Q3">
        <f t="shared" si="10"/>
        <v>1</v>
      </c>
      <c r="S3">
        <f t="shared" si="11"/>
        <v>-1</v>
      </c>
      <c r="T3">
        <f t="shared" si="0"/>
        <v>-1</v>
      </c>
      <c r="U3">
        <f t="shared" si="0"/>
        <v>-1</v>
      </c>
      <c r="V3">
        <f t="shared" si="0"/>
        <v>-1</v>
      </c>
      <c r="W3">
        <f t="shared" si="0"/>
        <v>2</v>
      </c>
      <c r="X3">
        <f t="shared" si="0"/>
        <v>2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BH3" s="1"/>
    </row>
    <row r="4" spans="1:68">
      <c r="A4">
        <v>2</v>
      </c>
      <c r="B4">
        <v>4</v>
      </c>
      <c r="C4" t="s">
        <v>1</v>
      </c>
      <c r="D4">
        <f t="shared" si="2"/>
        <v>2</v>
      </c>
      <c r="E4">
        <f t="shared" si="2"/>
        <v>4</v>
      </c>
      <c r="F4" t="str">
        <f t="shared" si="3"/>
        <v/>
      </c>
      <c r="G4" t="str">
        <f t="shared" si="3"/>
        <v/>
      </c>
      <c r="H4" t="str">
        <f t="shared" si="4"/>
        <v/>
      </c>
      <c r="I4" t="str">
        <f t="shared" si="4"/>
        <v/>
      </c>
      <c r="L4">
        <f t="shared" si="5"/>
        <v>1.7950549357115011</v>
      </c>
      <c r="M4">
        <f t="shared" si="6"/>
        <v>1.0540925533894598</v>
      </c>
      <c r="N4">
        <f t="shared" si="7"/>
        <v>1.2018504251546629</v>
      </c>
      <c r="O4">
        <f t="shared" si="8"/>
        <v>1.0540925533894598</v>
      </c>
      <c r="P4" t="str">
        <f t="shared" si="9"/>
        <v>B</v>
      </c>
      <c r="Q4">
        <f t="shared" si="10"/>
        <v>1</v>
      </c>
      <c r="S4">
        <f t="shared" si="11"/>
        <v>2</v>
      </c>
      <c r="T4">
        <f t="shared" si="0"/>
        <v>4</v>
      </c>
      <c r="U4">
        <f t="shared" si="0"/>
        <v>-1</v>
      </c>
      <c r="V4">
        <f t="shared" si="0"/>
        <v>-1</v>
      </c>
      <c r="W4">
        <f t="shared" si="0"/>
        <v>-1</v>
      </c>
      <c r="X4">
        <f t="shared" si="0"/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BH4" s="1"/>
    </row>
    <row r="5" spans="1:68">
      <c r="A5">
        <v>2</v>
      </c>
      <c r="B5">
        <v>5</v>
      </c>
      <c r="C5" t="s">
        <v>3</v>
      </c>
      <c r="D5" t="str">
        <f t="shared" si="2"/>
        <v/>
      </c>
      <c r="E5" t="str">
        <f t="shared" si="2"/>
        <v/>
      </c>
      <c r="F5">
        <f t="shared" si="3"/>
        <v>2</v>
      </c>
      <c r="G5">
        <f t="shared" si="3"/>
        <v>5</v>
      </c>
      <c r="H5" t="str">
        <f t="shared" si="4"/>
        <v/>
      </c>
      <c r="I5" t="str">
        <f t="shared" si="4"/>
        <v/>
      </c>
      <c r="L5">
        <f t="shared" si="5"/>
        <v>2.7487370837451071</v>
      </c>
      <c r="M5">
        <f t="shared" si="6"/>
        <v>2.0275875100994067</v>
      </c>
      <c r="N5">
        <f t="shared" si="7"/>
        <v>2.1081851067789197</v>
      </c>
      <c r="O5">
        <f t="shared" si="8"/>
        <v>2.0275875100994067</v>
      </c>
      <c r="P5" t="str">
        <f t="shared" si="9"/>
        <v>B</v>
      </c>
      <c r="Q5">
        <f t="shared" si="10"/>
        <v>0</v>
      </c>
      <c r="S5">
        <f t="shared" si="11"/>
        <v>-1</v>
      </c>
      <c r="T5">
        <f t="shared" si="0"/>
        <v>-1</v>
      </c>
      <c r="U5">
        <f t="shared" si="0"/>
        <v>2</v>
      </c>
      <c r="V5">
        <f t="shared" si="0"/>
        <v>5</v>
      </c>
      <c r="W5">
        <f t="shared" si="0"/>
        <v>-1</v>
      </c>
      <c r="X5">
        <f t="shared" si="0"/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BH5" s="1"/>
    </row>
    <row r="6" spans="1:68">
      <c r="A6">
        <v>1</v>
      </c>
      <c r="B6">
        <v>4</v>
      </c>
      <c r="C6" t="s">
        <v>5</v>
      </c>
      <c r="D6" t="str">
        <f t="shared" si="2"/>
        <v/>
      </c>
      <c r="E6" t="str">
        <f t="shared" si="2"/>
        <v/>
      </c>
      <c r="F6" t="str">
        <f t="shared" si="3"/>
        <v/>
      </c>
      <c r="G6" t="str">
        <f t="shared" si="3"/>
        <v/>
      </c>
      <c r="H6">
        <f t="shared" si="4"/>
        <v>1</v>
      </c>
      <c r="I6">
        <f t="shared" si="4"/>
        <v>4</v>
      </c>
      <c r="L6">
        <f t="shared" si="5"/>
        <v>2.3570226039551581</v>
      </c>
      <c r="M6">
        <f t="shared" si="6"/>
        <v>1.6666666666666667</v>
      </c>
      <c r="N6">
        <f t="shared" si="7"/>
        <v>1.9436506316151001</v>
      </c>
      <c r="O6">
        <f t="shared" si="8"/>
        <v>1.6666666666666667</v>
      </c>
      <c r="P6" t="str">
        <f t="shared" si="9"/>
        <v>B</v>
      </c>
      <c r="Q6">
        <f t="shared" si="10"/>
        <v>1</v>
      </c>
      <c r="S6">
        <f t="shared" si="11"/>
        <v>-1</v>
      </c>
      <c r="T6">
        <f t="shared" si="0"/>
        <v>-1</v>
      </c>
      <c r="U6">
        <f t="shared" si="0"/>
        <v>-1</v>
      </c>
      <c r="V6">
        <f t="shared" si="0"/>
        <v>-1</v>
      </c>
      <c r="W6">
        <f t="shared" si="0"/>
        <v>1</v>
      </c>
      <c r="X6">
        <f t="shared" si="0"/>
        <v>4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BH6" s="1"/>
    </row>
    <row r="7" spans="1:68">
      <c r="A7">
        <v>5</v>
      </c>
      <c r="B7">
        <v>2</v>
      </c>
      <c r="C7" t="s">
        <v>1</v>
      </c>
      <c r="D7">
        <f t="shared" si="2"/>
        <v>5</v>
      </c>
      <c r="E7">
        <f t="shared" si="2"/>
        <v>2</v>
      </c>
      <c r="F7" t="str">
        <f t="shared" si="3"/>
        <v/>
      </c>
      <c r="G7" t="str">
        <f t="shared" si="3"/>
        <v/>
      </c>
      <c r="H7" t="str">
        <f t="shared" si="4"/>
        <v/>
      </c>
      <c r="I7" t="str">
        <f t="shared" si="4"/>
        <v/>
      </c>
      <c r="L7">
        <f t="shared" si="5"/>
        <v>2.3570226039551589</v>
      </c>
      <c r="M7">
        <f t="shared" si="6"/>
        <v>2.8480012484391768</v>
      </c>
      <c r="N7">
        <f t="shared" si="7"/>
        <v>2.5385910352879697</v>
      </c>
      <c r="O7">
        <f t="shared" si="8"/>
        <v>2.3570226039551589</v>
      </c>
      <c r="P7" t="str">
        <f t="shared" si="9"/>
        <v>A</v>
      </c>
      <c r="Q7">
        <f t="shared" si="10"/>
        <v>0</v>
      </c>
      <c r="S7">
        <f t="shared" si="11"/>
        <v>5</v>
      </c>
      <c r="T7">
        <f t="shared" si="0"/>
        <v>2</v>
      </c>
      <c r="U7">
        <f t="shared" si="0"/>
        <v>-1</v>
      </c>
      <c r="V7">
        <f t="shared" si="0"/>
        <v>-1</v>
      </c>
      <c r="W7">
        <f t="shared" si="0"/>
        <v>-1</v>
      </c>
      <c r="X7">
        <f t="shared" si="0"/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BH7" s="1"/>
    </row>
    <row r="8" spans="1:68">
      <c r="A8">
        <v>4</v>
      </c>
      <c r="B8">
        <v>2</v>
      </c>
      <c r="C8" t="s">
        <v>3</v>
      </c>
      <c r="D8" t="str">
        <f t="shared" si="2"/>
        <v/>
      </c>
      <c r="E8" t="str">
        <f t="shared" si="2"/>
        <v/>
      </c>
      <c r="F8">
        <f t="shared" si="3"/>
        <v>4</v>
      </c>
      <c r="G8">
        <f t="shared" si="3"/>
        <v>2</v>
      </c>
      <c r="H8" t="str">
        <f t="shared" si="4"/>
        <v/>
      </c>
      <c r="I8" t="str">
        <f t="shared" si="4"/>
        <v/>
      </c>
      <c r="L8">
        <f t="shared" si="5"/>
        <v>1.3743685418725538</v>
      </c>
      <c r="M8">
        <f t="shared" si="6"/>
        <v>1.9436506316151001</v>
      </c>
      <c r="N8">
        <f t="shared" si="7"/>
        <v>1.6666666666666667</v>
      </c>
      <c r="O8">
        <f t="shared" si="8"/>
        <v>1.3743685418725538</v>
      </c>
      <c r="P8" t="str">
        <f t="shared" si="9"/>
        <v>A</v>
      </c>
      <c r="Q8">
        <f t="shared" si="10"/>
        <v>1</v>
      </c>
      <c r="S8">
        <f t="shared" si="11"/>
        <v>-1</v>
      </c>
      <c r="T8">
        <f t="shared" si="0"/>
        <v>-1</v>
      </c>
      <c r="U8">
        <f t="shared" si="0"/>
        <v>4</v>
      </c>
      <c r="V8">
        <f t="shared" si="0"/>
        <v>2</v>
      </c>
      <c r="W8">
        <f t="shared" si="0"/>
        <v>-1</v>
      </c>
      <c r="X8">
        <f t="shared" si="0"/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BH8" s="1"/>
    </row>
    <row r="9" spans="1:68">
      <c r="A9">
        <v>5</v>
      </c>
      <c r="B9">
        <v>3</v>
      </c>
      <c r="C9" t="s">
        <v>4</v>
      </c>
      <c r="D9" t="str">
        <f t="shared" si="2"/>
        <v/>
      </c>
      <c r="E9" t="str">
        <f t="shared" si="2"/>
        <v/>
      </c>
      <c r="F9" t="str">
        <f t="shared" si="3"/>
        <v/>
      </c>
      <c r="G9" t="str">
        <f t="shared" si="3"/>
        <v/>
      </c>
      <c r="H9">
        <f t="shared" si="4"/>
        <v>5</v>
      </c>
      <c r="I9">
        <f t="shared" si="4"/>
        <v>3</v>
      </c>
      <c r="L9">
        <f t="shared" si="5"/>
        <v>2.4267032964268398</v>
      </c>
      <c r="M9">
        <f t="shared" si="6"/>
        <v>2.6666666666666665</v>
      </c>
      <c r="N9">
        <f t="shared" si="7"/>
        <v>2.3333333333333335</v>
      </c>
      <c r="O9">
        <f t="shared" si="8"/>
        <v>2.3333333333333335</v>
      </c>
      <c r="P9" t="str">
        <f t="shared" si="9"/>
        <v>C</v>
      </c>
      <c r="Q9">
        <f t="shared" si="10"/>
        <v>0</v>
      </c>
      <c r="S9">
        <f t="shared" si="11"/>
        <v>-1</v>
      </c>
      <c r="T9">
        <f t="shared" si="0"/>
        <v>-1</v>
      </c>
      <c r="U9">
        <f t="shared" si="0"/>
        <v>-1</v>
      </c>
      <c r="V9">
        <f t="shared" si="0"/>
        <v>-1</v>
      </c>
      <c r="W9">
        <f t="shared" si="0"/>
        <v>5</v>
      </c>
      <c r="X9">
        <f t="shared" si="0"/>
        <v>3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BH9" s="1"/>
    </row>
    <row r="10" spans="1:68">
      <c r="D10">
        <f t="shared" ref="D10:I10" si="12">AVERAGE(D1:D9)</f>
        <v>2.6666666666666665</v>
      </c>
      <c r="E10">
        <f t="shared" si="12"/>
        <v>2.3333333333333335</v>
      </c>
      <c r="F10">
        <f t="shared" si="12"/>
        <v>2.3333333333333335</v>
      </c>
      <c r="G10">
        <f t="shared" si="12"/>
        <v>3</v>
      </c>
      <c r="H10">
        <f t="shared" si="12"/>
        <v>2.6666666666666665</v>
      </c>
      <c r="I10">
        <f t="shared" si="12"/>
        <v>3</v>
      </c>
      <c r="Q10">
        <f>SUM(Q1:Q9)</f>
        <v>4</v>
      </c>
      <c r="BH10" s="1"/>
    </row>
    <row r="11" spans="1:68">
      <c r="BH11" s="1"/>
    </row>
    <row r="12" spans="1:68">
      <c r="BH12" s="1"/>
      <c r="BP12" t="s">
        <v>6</v>
      </c>
    </row>
    <row r="13" spans="1:68">
      <c r="A13">
        <f>A1</f>
        <v>1</v>
      </c>
      <c r="B13">
        <f>B1</f>
        <v>1</v>
      </c>
      <c r="C13" t="str">
        <f>P1</f>
        <v>A</v>
      </c>
      <c r="D13">
        <f>IF($C13="A",A13,"")</f>
        <v>1</v>
      </c>
      <c r="E13">
        <f>IF($C13="A",B13,"")</f>
        <v>1</v>
      </c>
      <c r="F13" t="str">
        <f>IF($C13="B",A13,"")</f>
        <v/>
      </c>
      <c r="G13" t="str">
        <f>IF($C13="B",B13,"")</f>
        <v/>
      </c>
      <c r="H13" t="str">
        <f>IF($C13="C",A13,"")</f>
        <v/>
      </c>
      <c r="I13" t="str">
        <f>IF($C13="C",B13,"")</f>
        <v/>
      </c>
      <c r="J13">
        <f>D22</f>
        <v>3</v>
      </c>
      <c r="K13">
        <f>E22</f>
        <v>1.75</v>
      </c>
      <c r="L13">
        <f>SQRT((A13-D$22)^2+(B13-E$22)^2)</f>
        <v>2.1360009363293826</v>
      </c>
      <c r="M13">
        <f>SQRT((A13-F$22)^2+(B13-G$22)^2)</f>
        <v>2.7950849718747373</v>
      </c>
      <c r="N13">
        <f>SQRT((A13-H$22)^2+(B13-I$22)^2)</f>
        <v>4.4721359549995796</v>
      </c>
      <c r="O13">
        <f>MIN(L13:N13)</f>
        <v>2.1360009363293826</v>
      </c>
      <c r="P13" t="str">
        <f>IF(O13=L13,"A",IF(O13=M13,"B","C"))</f>
        <v>A</v>
      </c>
      <c r="Q13">
        <f>IF(C13=P13,0,1)</f>
        <v>0</v>
      </c>
      <c r="S13">
        <f>IF(D13&lt;&gt;"",D13,-1)</f>
        <v>1</v>
      </c>
      <c r="T13">
        <f t="shared" ref="T13:T21" si="13">IF(E13&lt;&gt;"",E13,-1)</f>
        <v>1</v>
      </c>
      <c r="U13">
        <f t="shared" ref="U13:U21" si="14">IF(F13&lt;&gt;"",F13,-1)</f>
        <v>-1</v>
      </c>
      <c r="V13">
        <f t="shared" ref="V13:V21" si="15">IF(G13&lt;&gt;"",G13,-1)</f>
        <v>-1</v>
      </c>
      <c r="W13">
        <f t="shared" ref="W13:W21" si="16">IF(H13&lt;&gt;"",H13,-1)</f>
        <v>-1</v>
      </c>
      <c r="X13">
        <f t="shared" ref="X13:X21" si="17">IF(I13&lt;&gt;"",I13,-1)</f>
        <v>-1</v>
      </c>
      <c r="Y13">
        <f>D22</f>
        <v>3</v>
      </c>
      <c r="Z13">
        <f t="shared" ref="Z13" si="18">E22</f>
        <v>1.75</v>
      </c>
      <c r="AA13">
        <f t="shared" ref="AA13" si="19">F22</f>
        <v>1.5</v>
      </c>
      <c r="AB13">
        <f t="shared" ref="AB13" si="20">G22</f>
        <v>3.75</v>
      </c>
      <c r="AC13">
        <f t="shared" ref="AC13" si="21">H22</f>
        <v>5</v>
      </c>
      <c r="AD13">
        <f t="shared" ref="AD13" si="22">I22</f>
        <v>3</v>
      </c>
      <c r="BH13" s="1"/>
    </row>
    <row r="14" spans="1:68">
      <c r="A14">
        <f t="shared" ref="A14:B21" si="23">A2</f>
        <v>1</v>
      </c>
      <c r="B14">
        <f t="shared" si="23"/>
        <v>2</v>
      </c>
      <c r="C14" t="str">
        <f t="shared" ref="C14:C21" si="24">P2</f>
        <v>B</v>
      </c>
      <c r="D14" t="str">
        <f t="shared" ref="D14:E21" si="25">IF($C14="A",A14,"")</f>
        <v/>
      </c>
      <c r="E14" t="str">
        <f t="shared" si="25"/>
        <v/>
      </c>
      <c r="F14">
        <f t="shared" ref="F14:G21" si="26">IF($C14="B",A14,"")</f>
        <v>1</v>
      </c>
      <c r="G14">
        <f t="shared" si="26"/>
        <v>2</v>
      </c>
      <c r="H14" t="str">
        <f t="shared" ref="H14:I21" si="27">IF($C14="C",A14,"")</f>
        <v/>
      </c>
      <c r="I14" t="str">
        <f t="shared" si="27"/>
        <v/>
      </c>
      <c r="J14">
        <f>F22</f>
        <v>1.5</v>
      </c>
      <c r="K14">
        <f>G22</f>
        <v>3.75</v>
      </c>
      <c r="L14">
        <f t="shared" ref="L14:L21" si="28">SQRT((A14-D$22)^2+(B14-E$22)^2)</f>
        <v>2.0155644370746373</v>
      </c>
      <c r="M14">
        <f t="shared" ref="M14:M21" si="29">SQRT((A14-F$22)^2+(B14-G$22)^2)</f>
        <v>1.8200274723201295</v>
      </c>
      <c r="N14">
        <f t="shared" ref="N14:N21" si="30">SQRT((A14-H$22)^2+(B14-I$22)^2)</f>
        <v>4.1231056256176606</v>
      </c>
      <c r="O14">
        <f t="shared" ref="O14:O21" si="31">MIN(L14:N14)</f>
        <v>1.8200274723201295</v>
      </c>
      <c r="P14" t="str">
        <f t="shared" ref="P14:P21" si="32">IF(O14=L14,"A",IF(O14=M14,"B","C"))</f>
        <v>B</v>
      </c>
      <c r="Q14">
        <f t="shared" ref="Q14:Q21" si="33">IF(C14=P14,0,1)</f>
        <v>0</v>
      </c>
      <c r="S14">
        <f t="shared" ref="S14:S21" si="34">IF(D14&lt;&gt;"",D14,-1)</f>
        <v>-1</v>
      </c>
      <c r="T14">
        <f t="shared" si="13"/>
        <v>-1</v>
      </c>
      <c r="U14">
        <f t="shared" si="14"/>
        <v>1</v>
      </c>
      <c r="V14">
        <f t="shared" si="15"/>
        <v>2</v>
      </c>
      <c r="W14">
        <f t="shared" si="16"/>
        <v>-1</v>
      </c>
      <c r="X14">
        <f t="shared" si="17"/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BH14" s="1"/>
    </row>
    <row r="15" spans="1:68">
      <c r="A15">
        <f t="shared" si="23"/>
        <v>2</v>
      </c>
      <c r="B15">
        <f t="shared" si="23"/>
        <v>2</v>
      </c>
      <c r="C15" t="str">
        <f t="shared" si="24"/>
        <v>A</v>
      </c>
      <c r="D15">
        <f t="shared" si="25"/>
        <v>2</v>
      </c>
      <c r="E15">
        <f t="shared" si="25"/>
        <v>2</v>
      </c>
      <c r="F15" t="str">
        <f t="shared" si="26"/>
        <v/>
      </c>
      <c r="G15" t="str">
        <f t="shared" si="26"/>
        <v/>
      </c>
      <c r="H15" t="str">
        <f t="shared" si="27"/>
        <v/>
      </c>
      <c r="I15" t="str">
        <f t="shared" si="27"/>
        <v/>
      </c>
      <c r="J15">
        <f>H22</f>
        <v>5</v>
      </c>
      <c r="K15">
        <f>I22</f>
        <v>3</v>
      </c>
      <c r="L15">
        <f t="shared" si="28"/>
        <v>1.0307764064044151</v>
      </c>
      <c r="M15">
        <f t="shared" si="29"/>
        <v>1.8200274723201295</v>
      </c>
      <c r="N15">
        <f t="shared" si="30"/>
        <v>3.1622776601683795</v>
      </c>
      <c r="O15">
        <f t="shared" si="31"/>
        <v>1.0307764064044151</v>
      </c>
      <c r="P15" t="str">
        <f t="shared" si="32"/>
        <v>A</v>
      </c>
      <c r="Q15">
        <f t="shared" si="33"/>
        <v>0</v>
      </c>
      <c r="S15">
        <f t="shared" si="34"/>
        <v>2</v>
      </c>
      <c r="T15">
        <f t="shared" si="13"/>
        <v>2</v>
      </c>
      <c r="U15">
        <f t="shared" si="14"/>
        <v>-1</v>
      </c>
      <c r="V15">
        <f t="shared" si="15"/>
        <v>-1</v>
      </c>
      <c r="W15">
        <f t="shared" si="16"/>
        <v>-1</v>
      </c>
      <c r="X15">
        <f t="shared" si="17"/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BH15" s="1"/>
    </row>
    <row r="16" spans="1:68">
      <c r="A16">
        <f t="shared" si="23"/>
        <v>2</v>
      </c>
      <c r="B16">
        <f t="shared" si="23"/>
        <v>4</v>
      </c>
      <c r="C16" t="str">
        <f t="shared" si="24"/>
        <v>B</v>
      </c>
      <c r="D16" t="str">
        <f t="shared" si="25"/>
        <v/>
      </c>
      <c r="E16" t="str">
        <f t="shared" si="25"/>
        <v/>
      </c>
      <c r="F16">
        <f t="shared" si="26"/>
        <v>2</v>
      </c>
      <c r="G16">
        <f t="shared" si="26"/>
        <v>4</v>
      </c>
      <c r="H16" t="str">
        <f t="shared" si="27"/>
        <v/>
      </c>
      <c r="I16" t="str">
        <f t="shared" si="27"/>
        <v/>
      </c>
      <c r="L16">
        <f t="shared" si="28"/>
        <v>2.462214450449026</v>
      </c>
      <c r="M16">
        <f t="shared" si="29"/>
        <v>0.55901699437494745</v>
      </c>
      <c r="N16">
        <f t="shared" si="30"/>
        <v>3.1622776601683795</v>
      </c>
      <c r="O16">
        <f t="shared" si="31"/>
        <v>0.55901699437494745</v>
      </c>
      <c r="P16" t="str">
        <f t="shared" si="32"/>
        <v>B</v>
      </c>
      <c r="Q16">
        <f t="shared" si="33"/>
        <v>0</v>
      </c>
      <c r="S16">
        <f t="shared" si="34"/>
        <v>-1</v>
      </c>
      <c r="T16">
        <f t="shared" si="13"/>
        <v>-1</v>
      </c>
      <c r="U16">
        <f t="shared" si="14"/>
        <v>2</v>
      </c>
      <c r="V16">
        <f t="shared" si="15"/>
        <v>4</v>
      </c>
      <c r="W16">
        <f t="shared" si="16"/>
        <v>-1</v>
      </c>
      <c r="X16">
        <f t="shared" si="17"/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BH16" s="1"/>
    </row>
    <row r="17" spans="1:60">
      <c r="A17">
        <f t="shared" si="23"/>
        <v>2</v>
      </c>
      <c r="B17">
        <f t="shared" si="23"/>
        <v>5</v>
      </c>
      <c r="C17" t="str">
        <f t="shared" si="24"/>
        <v>B</v>
      </c>
      <c r="D17" t="str">
        <f t="shared" si="25"/>
        <v/>
      </c>
      <c r="E17" t="str">
        <f t="shared" si="25"/>
        <v/>
      </c>
      <c r="F17">
        <f t="shared" si="26"/>
        <v>2</v>
      </c>
      <c r="G17">
        <f t="shared" si="26"/>
        <v>5</v>
      </c>
      <c r="H17" t="str">
        <f t="shared" si="27"/>
        <v/>
      </c>
      <c r="I17" t="str">
        <f t="shared" si="27"/>
        <v/>
      </c>
      <c r="L17">
        <f t="shared" si="28"/>
        <v>3.400367627183861</v>
      </c>
      <c r="M17">
        <f t="shared" si="29"/>
        <v>1.3462912017836259</v>
      </c>
      <c r="N17">
        <f t="shared" si="30"/>
        <v>3.6055512754639891</v>
      </c>
      <c r="O17">
        <f t="shared" si="31"/>
        <v>1.3462912017836259</v>
      </c>
      <c r="P17" t="str">
        <f t="shared" si="32"/>
        <v>B</v>
      </c>
      <c r="Q17">
        <f t="shared" si="33"/>
        <v>0</v>
      </c>
      <c r="S17">
        <f t="shared" si="34"/>
        <v>-1</v>
      </c>
      <c r="T17">
        <f t="shared" si="13"/>
        <v>-1</v>
      </c>
      <c r="U17">
        <f t="shared" si="14"/>
        <v>2</v>
      </c>
      <c r="V17">
        <f t="shared" si="15"/>
        <v>5</v>
      </c>
      <c r="W17">
        <f t="shared" si="16"/>
        <v>-1</v>
      </c>
      <c r="X17">
        <f t="shared" si="17"/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</row>
    <row r="18" spans="1:60">
      <c r="A18">
        <f t="shared" si="23"/>
        <v>1</v>
      </c>
      <c r="B18">
        <f t="shared" si="23"/>
        <v>4</v>
      </c>
      <c r="C18" t="str">
        <f t="shared" si="24"/>
        <v>B</v>
      </c>
      <c r="D18" t="str">
        <f t="shared" si="25"/>
        <v/>
      </c>
      <c r="E18" t="str">
        <f t="shared" si="25"/>
        <v/>
      </c>
      <c r="F18">
        <f t="shared" si="26"/>
        <v>1</v>
      </c>
      <c r="G18">
        <f t="shared" si="26"/>
        <v>4</v>
      </c>
      <c r="H18" t="str">
        <f t="shared" si="27"/>
        <v/>
      </c>
      <c r="I18" t="str">
        <f t="shared" si="27"/>
        <v/>
      </c>
      <c r="L18">
        <f t="shared" si="28"/>
        <v>3.0103986446980739</v>
      </c>
      <c r="M18">
        <f t="shared" si="29"/>
        <v>0.55901699437494745</v>
      </c>
      <c r="N18">
        <f t="shared" si="30"/>
        <v>4.1231056256176606</v>
      </c>
      <c r="O18">
        <f t="shared" si="31"/>
        <v>0.55901699437494745</v>
      </c>
      <c r="P18" t="str">
        <f t="shared" si="32"/>
        <v>B</v>
      </c>
      <c r="Q18">
        <f t="shared" si="33"/>
        <v>0</v>
      </c>
      <c r="S18">
        <f t="shared" si="34"/>
        <v>-1</v>
      </c>
      <c r="T18">
        <f t="shared" si="13"/>
        <v>-1</v>
      </c>
      <c r="U18">
        <f t="shared" si="14"/>
        <v>1</v>
      </c>
      <c r="V18">
        <f t="shared" si="15"/>
        <v>4</v>
      </c>
      <c r="W18">
        <f t="shared" si="16"/>
        <v>-1</v>
      </c>
      <c r="X18">
        <f t="shared" si="17"/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</row>
    <row r="19" spans="1:60">
      <c r="A19">
        <f t="shared" si="23"/>
        <v>5</v>
      </c>
      <c r="B19">
        <f t="shared" si="23"/>
        <v>2</v>
      </c>
      <c r="C19" t="str">
        <f t="shared" si="24"/>
        <v>A</v>
      </c>
      <c r="D19">
        <f t="shared" si="25"/>
        <v>5</v>
      </c>
      <c r="E19">
        <f t="shared" si="25"/>
        <v>2</v>
      </c>
      <c r="F19" t="str">
        <f t="shared" si="26"/>
        <v/>
      </c>
      <c r="G19" t="str">
        <f t="shared" si="26"/>
        <v/>
      </c>
      <c r="H19" t="str">
        <f t="shared" si="27"/>
        <v/>
      </c>
      <c r="I19" t="str">
        <f t="shared" si="27"/>
        <v/>
      </c>
      <c r="L19">
        <f t="shared" si="28"/>
        <v>2.0155644370746373</v>
      </c>
      <c r="M19">
        <f t="shared" si="29"/>
        <v>3.9131189606246322</v>
      </c>
      <c r="N19">
        <f t="shared" si="30"/>
        <v>1</v>
      </c>
      <c r="O19">
        <f t="shared" si="31"/>
        <v>1</v>
      </c>
      <c r="P19" t="str">
        <f t="shared" si="32"/>
        <v>C</v>
      </c>
      <c r="Q19">
        <f t="shared" si="33"/>
        <v>1</v>
      </c>
      <c r="S19">
        <f t="shared" si="34"/>
        <v>5</v>
      </c>
      <c r="T19">
        <f t="shared" si="13"/>
        <v>2</v>
      </c>
      <c r="U19">
        <f t="shared" si="14"/>
        <v>-1</v>
      </c>
      <c r="V19">
        <f t="shared" si="15"/>
        <v>-1</v>
      </c>
      <c r="W19">
        <f t="shared" si="16"/>
        <v>-1</v>
      </c>
      <c r="X19">
        <f t="shared" si="17"/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</row>
    <row r="20" spans="1:60">
      <c r="A20">
        <f t="shared" si="23"/>
        <v>4</v>
      </c>
      <c r="B20">
        <f t="shared" si="23"/>
        <v>2</v>
      </c>
      <c r="C20" t="str">
        <f t="shared" si="24"/>
        <v>A</v>
      </c>
      <c r="D20">
        <f t="shared" si="25"/>
        <v>4</v>
      </c>
      <c r="E20">
        <f t="shared" si="25"/>
        <v>2</v>
      </c>
      <c r="F20" t="str">
        <f t="shared" si="26"/>
        <v/>
      </c>
      <c r="G20" t="str">
        <f t="shared" si="26"/>
        <v/>
      </c>
      <c r="H20" t="str">
        <f t="shared" si="27"/>
        <v/>
      </c>
      <c r="I20" t="str">
        <f t="shared" si="27"/>
        <v/>
      </c>
      <c r="L20">
        <f t="shared" si="28"/>
        <v>1.0307764064044151</v>
      </c>
      <c r="M20">
        <f t="shared" si="29"/>
        <v>3.0516389039334255</v>
      </c>
      <c r="N20">
        <f t="shared" si="30"/>
        <v>1.4142135623730951</v>
      </c>
      <c r="O20">
        <f t="shared" si="31"/>
        <v>1.0307764064044151</v>
      </c>
      <c r="P20" t="str">
        <f t="shared" si="32"/>
        <v>A</v>
      </c>
      <c r="Q20">
        <f t="shared" si="33"/>
        <v>0</v>
      </c>
      <c r="S20">
        <f t="shared" si="34"/>
        <v>4</v>
      </c>
      <c r="T20">
        <f t="shared" si="13"/>
        <v>2</v>
      </c>
      <c r="U20">
        <f t="shared" si="14"/>
        <v>-1</v>
      </c>
      <c r="V20">
        <f t="shared" si="15"/>
        <v>-1</v>
      </c>
      <c r="W20">
        <f t="shared" si="16"/>
        <v>-1</v>
      </c>
      <c r="X20">
        <f t="shared" si="17"/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60">
      <c r="A21">
        <f t="shared" si="23"/>
        <v>5</v>
      </c>
      <c r="B21">
        <f t="shared" si="23"/>
        <v>3</v>
      </c>
      <c r="C21" t="str">
        <f t="shared" si="24"/>
        <v>C</v>
      </c>
      <c r="D21" t="str">
        <f t="shared" si="25"/>
        <v/>
      </c>
      <c r="E21" t="str">
        <f t="shared" si="25"/>
        <v/>
      </c>
      <c r="F21" t="str">
        <f t="shared" si="26"/>
        <v/>
      </c>
      <c r="G21" t="str">
        <f t="shared" si="26"/>
        <v/>
      </c>
      <c r="H21">
        <f t="shared" si="27"/>
        <v>5</v>
      </c>
      <c r="I21">
        <f t="shared" si="27"/>
        <v>3</v>
      </c>
      <c r="L21">
        <f t="shared" si="28"/>
        <v>2.3584952830141508</v>
      </c>
      <c r="M21">
        <f t="shared" si="29"/>
        <v>3.5794552658190883</v>
      </c>
      <c r="N21">
        <f t="shared" si="30"/>
        <v>0</v>
      </c>
      <c r="O21">
        <f t="shared" si="31"/>
        <v>0</v>
      </c>
      <c r="P21" t="str">
        <f t="shared" si="32"/>
        <v>C</v>
      </c>
      <c r="Q21">
        <f t="shared" si="33"/>
        <v>0</v>
      </c>
      <c r="S21">
        <f t="shared" si="34"/>
        <v>-1</v>
      </c>
      <c r="T21">
        <f t="shared" si="13"/>
        <v>-1</v>
      </c>
      <c r="U21">
        <f t="shared" si="14"/>
        <v>-1</v>
      </c>
      <c r="V21">
        <f t="shared" si="15"/>
        <v>-1</v>
      </c>
      <c r="W21">
        <f t="shared" si="16"/>
        <v>5</v>
      </c>
      <c r="X21">
        <f t="shared" si="17"/>
        <v>3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</row>
    <row r="22" spans="1:60">
      <c r="D22">
        <f t="shared" ref="D22:I22" si="35">AVERAGE(D13:D21)</f>
        <v>3</v>
      </c>
      <c r="E22">
        <f t="shared" si="35"/>
        <v>1.75</v>
      </c>
      <c r="F22">
        <f t="shared" si="35"/>
        <v>1.5</v>
      </c>
      <c r="G22">
        <f t="shared" si="35"/>
        <v>3.75</v>
      </c>
      <c r="H22">
        <f t="shared" si="35"/>
        <v>5</v>
      </c>
      <c r="I22">
        <f t="shared" si="35"/>
        <v>3</v>
      </c>
      <c r="Q22">
        <f>SUM(Q13:Q21)</f>
        <v>1</v>
      </c>
    </row>
    <row r="24" spans="1:60">
      <c r="BH24" s="2"/>
    </row>
    <row r="25" spans="1:60">
      <c r="A25">
        <f>A13</f>
        <v>1</v>
      </c>
      <c r="B25">
        <f>B13</f>
        <v>1</v>
      </c>
      <c r="C25" t="str">
        <f>P13</f>
        <v>A</v>
      </c>
      <c r="D25">
        <f>IF($C25="A",A25,"")</f>
        <v>1</v>
      </c>
      <c r="E25">
        <f>IF($C25="A",B25,"")</f>
        <v>1</v>
      </c>
      <c r="F25" t="str">
        <f>IF($C25="B",A25,"")</f>
        <v/>
      </c>
      <c r="G25" t="str">
        <f>IF($C25="B",B25,"")</f>
        <v/>
      </c>
      <c r="H25" t="str">
        <f>IF($C25="C",A25,"")</f>
        <v/>
      </c>
      <c r="I25" t="str">
        <f>IF($C25="C",B25,"")</f>
        <v/>
      </c>
      <c r="J25">
        <f>D34</f>
        <v>2.3333333333333335</v>
      </c>
      <c r="K25">
        <f>E34</f>
        <v>1.6666666666666667</v>
      </c>
      <c r="L25">
        <f>SQRT((A25-D$34)^2+(B25-E$34)^2)</f>
        <v>1.49071198499986</v>
      </c>
      <c r="M25">
        <f>SQRT((A25-F$34)^2+(B25-G$34)^2)</f>
        <v>2.7950849718747373</v>
      </c>
      <c r="N25">
        <f>SQRT((A25-H$34)^2+(B25-I$34)^2)</f>
        <v>4.2720018726587652</v>
      </c>
      <c r="O25">
        <f>MIN(L25:N25)</f>
        <v>1.49071198499986</v>
      </c>
      <c r="P25" t="str">
        <f>IF(O25=L25,"A",IF(O25=M25,"B","C"))</f>
        <v>A</v>
      </c>
      <c r="Q25">
        <f>IF(C25=P25,0,1)</f>
        <v>0</v>
      </c>
      <c r="S25">
        <f>IF(D25&lt;&gt;"",D25,-1)</f>
        <v>1</v>
      </c>
      <c r="T25">
        <f t="shared" ref="T25:T33" si="36">IF(E25&lt;&gt;"",E25,-1)</f>
        <v>1</v>
      </c>
      <c r="U25">
        <f t="shared" ref="U25:U33" si="37">IF(F25&lt;&gt;"",F25,-1)</f>
        <v>-1</v>
      </c>
      <c r="V25">
        <f t="shared" ref="V25:V33" si="38">IF(G25&lt;&gt;"",G25,-1)</f>
        <v>-1</v>
      </c>
      <c r="W25">
        <f t="shared" ref="W25:W33" si="39">IF(H25&lt;&gt;"",H25,-1)</f>
        <v>-1</v>
      </c>
      <c r="X25">
        <f t="shared" ref="X25:X33" si="40">IF(I25&lt;&gt;"",I25,-1)</f>
        <v>-1</v>
      </c>
      <c r="Y25">
        <f>D34</f>
        <v>2.3333333333333335</v>
      </c>
      <c r="Z25">
        <f t="shared" ref="Z25" si="41">E34</f>
        <v>1.6666666666666667</v>
      </c>
      <c r="AA25">
        <f t="shared" ref="AA25" si="42">F34</f>
        <v>1.5</v>
      </c>
      <c r="AB25">
        <f t="shared" ref="AB25" si="43">G34</f>
        <v>3.75</v>
      </c>
      <c r="AC25">
        <f t="shared" ref="AC25" si="44">H34</f>
        <v>5</v>
      </c>
      <c r="AD25">
        <f t="shared" ref="AD25" si="45">I34</f>
        <v>2.5</v>
      </c>
      <c r="BH25" s="2"/>
    </row>
    <row r="26" spans="1:60">
      <c r="A26">
        <f t="shared" ref="A26:B33" si="46">A14</f>
        <v>1</v>
      </c>
      <c r="B26">
        <f t="shared" si="46"/>
        <v>2</v>
      </c>
      <c r="C26" t="str">
        <f t="shared" ref="C26:C33" si="47">P14</f>
        <v>B</v>
      </c>
      <c r="D26" t="str">
        <f t="shared" ref="D26:E33" si="48">IF($C26="A",A26,"")</f>
        <v/>
      </c>
      <c r="E26" t="str">
        <f t="shared" si="48"/>
        <v/>
      </c>
      <c r="F26">
        <f t="shared" ref="F26:G33" si="49">IF($C26="B",A26,"")</f>
        <v>1</v>
      </c>
      <c r="G26">
        <f t="shared" si="49"/>
        <v>2</v>
      </c>
      <c r="H26" t="str">
        <f t="shared" ref="H26:I33" si="50">IF($C26="C",A26,"")</f>
        <v/>
      </c>
      <c r="I26" t="str">
        <f t="shared" si="50"/>
        <v/>
      </c>
      <c r="J26">
        <f>F34</f>
        <v>1.5</v>
      </c>
      <c r="K26">
        <f>G34</f>
        <v>3.75</v>
      </c>
      <c r="L26">
        <f t="shared" ref="L26:L33" si="51">SQRT((A26-D$34)^2+(B26-E$34)^2)</f>
        <v>1.3743685418725538</v>
      </c>
      <c r="M26">
        <f t="shared" ref="M26:M33" si="52">SQRT((A26-F$34)^2+(B26-G$34)^2)</f>
        <v>1.8200274723201295</v>
      </c>
      <c r="N26">
        <f t="shared" ref="N26:N33" si="53">SQRT((A26-H$34)^2+(B26-I$34)^2)</f>
        <v>4.0311288741492746</v>
      </c>
      <c r="O26">
        <f t="shared" ref="O26:O33" si="54">MIN(L26:N26)</f>
        <v>1.3743685418725538</v>
      </c>
      <c r="P26" t="str">
        <f t="shared" ref="P26:P33" si="55">IF(O26=L26,"A",IF(O26=M26,"B","C"))</f>
        <v>A</v>
      </c>
      <c r="Q26">
        <f t="shared" ref="Q26:Q33" si="56">IF(C26=P26,0,1)</f>
        <v>1</v>
      </c>
      <c r="S26">
        <f t="shared" ref="S26:S33" si="57">IF(D26&lt;&gt;"",D26,-1)</f>
        <v>-1</v>
      </c>
      <c r="T26">
        <f t="shared" si="36"/>
        <v>-1</v>
      </c>
      <c r="U26">
        <f t="shared" si="37"/>
        <v>1</v>
      </c>
      <c r="V26">
        <f t="shared" si="38"/>
        <v>2</v>
      </c>
      <c r="W26">
        <f t="shared" si="39"/>
        <v>-1</v>
      </c>
      <c r="X26">
        <f t="shared" si="40"/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BH26" s="2"/>
    </row>
    <row r="27" spans="1:60">
      <c r="A27">
        <f t="shared" si="46"/>
        <v>2</v>
      </c>
      <c r="B27">
        <f t="shared" si="46"/>
        <v>2</v>
      </c>
      <c r="C27" t="str">
        <f t="shared" si="47"/>
        <v>A</v>
      </c>
      <c r="D27">
        <f t="shared" si="48"/>
        <v>2</v>
      </c>
      <c r="E27">
        <f t="shared" si="48"/>
        <v>2</v>
      </c>
      <c r="F27" t="str">
        <f t="shared" si="49"/>
        <v/>
      </c>
      <c r="G27" t="str">
        <f t="shared" si="49"/>
        <v/>
      </c>
      <c r="H27" t="str">
        <f t="shared" si="50"/>
        <v/>
      </c>
      <c r="I27" t="str">
        <f t="shared" si="50"/>
        <v/>
      </c>
      <c r="J27">
        <f>H34</f>
        <v>5</v>
      </c>
      <c r="K27">
        <f>I34</f>
        <v>2.5</v>
      </c>
      <c r="L27">
        <f t="shared" si="51"/>
        <v>0.47140452079103173</v>
      </c>
      <c r="M27">
        <f t="shared" si="52"/>
        <v>1.8200274723201295</v>
      </c>
      <c r="N27">
        <f t="shared" si="53"/>
        <v>3.0413812651491097</v>
      </c>
      <c r="O27">
        <f t="shared" si="54"/>
        <v>0.47140452079103173</v>
      </c>
      <c r="P27" t="str">
        <f t="shared" si="55"/>
        <v>A</v>
      </c>
      <c r="Q27">
        <f t="shared" si="56"/>
        <v>0</v>
      </c>
      <c r="S27">
        <f t="shared" si="57"/>
        <v>2</v>
      </c>
      <c r="T27">
        <f t="shared" si="36"/>
        <v>2</v>
      </c>
      <c r="U27">
        <f t="shared" si="37"/>
        <v>-1</v>
      </c>
      <c r="V27">
        <f t="shared" si="38"/>
        <v>-1</v>
      </c>
      <c r="W27">
        <f t="shared" si="39"/>
        <v>-1</v>
      </c>
      <c r="X27">
        <f t="shared" si="40"/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BH27" s="2"/>
    </row>
    <row r="28" spans="1:60">
      <c r="A28">
        <f t="shared" si="46"/>
        <v>2</v>
      </c>
      <c r="B28">
        <f t="shared" si="46"/>
        <v>4</v>
      </c>
      <c r="C28" t="str">
        <f t="shared" si="47"/>
        <v>B</v>
      </c>
      <c r="D28" t="str">
        <f t="shared" si="48"/>
        <v/>
      </c>
      <c r="E28" t="str">
        <f t="shared" si="48"/>
        <v/>
      </c>
      <c r="F28">
        <f t="shared" si="49"/>
        <v>2</v>
      </c>
      <c r="G28">
        <f t="shared" si="49"/>
        <v>4</v>
      </c>
      <c r="H28" t="str">
        <f t="shared" si="50"/>
        <v/>
      </c>
      <c r="I28" t="str">
        <f t="shared" si="50"/>
        <v/>
      </c>
      <c r="L28">
        <f t="shared" si="51"/>
        <v>2.3570226039551581</v>
      </c>
      <c r="M28">
        <f t="shared" si="52"/>
        <v>0.55901699437494745</v>
      </c>
      <c r="N28">
        <f t="shared" si="53"/>
        <v>3.3541019662496847</v>
      </c>
      <c r="O28">
        <f t="shared" si="54"/>
        <v>0.55901699437494745</v>
      </c>
      <c r="P28" t="str">
        <f t="shared" si="55"/>
        <v>B</v>
      </c>
      <c r="Q28">
        <f t="shared" si="56"/>
        <v>0</v>
      </c>
      <c r="S28">
        <f t="shared" si="57"/>
        <v>-1</v>
      </c>
      <c r="T28">
        <f t="shared" si="36"/>
        <v>-1</v>
      </c>
      <c r="U28">
        <f t="shared" si="37"/>
        <v>2</v>
      </c>
      <c r="V28">
        <f t="shared" si="38"/>
        <v>4</v>
      </c>
      <c r="W28">
        <f t="shared" si="39"/>
        <v>-1</v>
      </c>
      <c r="X28">
        <f t="shared" si="40"/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</row>
    <row r="29" spans="1:60">
      <c r="A29">
        <f t="shared" si="46"/>
        <v>2</v>
      </c>
      <c r="B29">
        <f t="shared" si="46"/>
        <v>5</v>
      </c>
      <c r="C29" t="str">
        <f t="shared" si="47"/>
        <v>B</v>
      </c>
      <c r="D29" t="str">
        <f t="shared" si="48"/>
        <v/>
      </c>
      <c r="E29" t="str">
        <f t="shared" si="48"/>
        <v/>
      </c>
      <c r="F29">
        <f t="shared" si="49"/>
        <v>2</v>
      </c>
      <c r="G29">
        <f t="shared" si="49"/>
        <v>5</v>
      </c>
      <c r="H29" t="str">
        <f t="shared" si="50"/>
        <v/>
      </c>
      <c r="I29" t="str">
        <f t="shared" si="50"/>
        <v/>
      </c>
      <c r="L29">
        <f t="shared" si="51"/>
        <v>3.3499585403736298</v>
      </c>
      <c r="M29">
        <f t="shared" si="52"/>
        <v>1.3462912017836259</v>
      </c>
      <c r="N29">
        <f t="shared" si="53"/>
        <v>3.905124837953327</v>
      </c>
      <c r="O29">
        <f t="shared" si="54"/>
        <v>1.3462912017836259</v>
      </c>
      <c r="P29" t="str">
        <f t="shared" si="55"/>
        <v>B</v>
      </c>
      <c r="Q29">
        <f t="shared" si="56"/>
        <v>0</v>
      </c>
      <c r="S29">
        <f t="shared" si="57"/>
        <v>-1</v>
      </c>
      <c r="T29">
        <f t="shared" si="36"/>
        <v>-1</v>
      </c>
      <c r="U29">
        <f t="shared" si="37"/>
        <v>2</v>
      </c>
      <c r="V29">
        <f t="shared" si="38"/>
        <v>5</v>
      </c>
      <c r="W29">
        <f t="shared" si="39"/>
        <v>-1</v>
      </c>
      <c r="X29">
        <f t="shared" si="40"/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</row>
    <row r="30" spans="1:60">
      <c r="A30">
        <f t="shared" si="46"/>
        <v>1</v>
      </c>
      <c r="B30">
        <f t="shared" si="46"/>
        <v>4</v>
      </c>
      <c r="C30" t="str">
        <f t="shared" si="47"/>
        <v>B</v>
      </c>
      <c r="D30" t="str">
        <f t="shared" si="48"/>
        <v/>
      </c>
      <c r="E30" t="str">
        <f t="shared" si="48"/>
        <v/>
      </c>
      <c r="F30">
        <f t="shared" si="49"/>
        <v>1</v>
      </c>
      <c r="G30">
        <f t="shared" si="49"/>
        <v>4</v>
      </c>
      <c r="H30" t="str">
        <f t="shared" si="50"/>
        <v/>
      </c>
      <c r="I30" t="str">
        <f t="shared" si="50"/>
        <v/>
      </c>
      <c r="L30">
        <f t="shared" si="51"/>
        <v>2.6874192494328497</v>
      </c>
      <c r="M30">
        <f t="shared" si="52"/>
        <v>0.55901699437494745</v>
      </c>
      <c r="N30">
        <f t="shared" si="53"/>
        <v>4.2720018726587652</v>
      </c>
      <c r="O30">
        <f t="shared" si="54"/>
        <v>0.55901699437494745</v>
      </c>
      <c r="P30" t="str">
        <f t="shared" si="55"/>
        <v>B</v>
      </c>
      <c r="Q30">
        <f t="shared" si="56"/>
        <v>0</v>
      </c>
      <c r="S30">
        <f t="shared" si="57"/>
        <v>-1</v>
      </c>
      <c r="T30">
        <f t="shared" si="36"/>
        <v>-1</v>
      </c>
      <c r="U30">
        <f t="shared" si="37"/>
        <v>1</v>
      </c>
      <c r="V30">
        <f t="shared" si="38"/>
        <v>4</v>
      </c>
      <c r="W30">
        <f t="shared" si="39"/>
        <v>-1</v>
      </c>
      <c r="X30">
        <f t="shared" si="40"/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</row>
    <row r="31" spans="1:60">
      <c r="A31">
        <f t="shared" si="46"/>
        <v>5</v>
      </c>
      <c r="B31">
        <f t="shared" si="46"/>
        <v>2</v>
      </c>
      <c r="C31" t="str">
        <f t="shared" si="47"/>
        <v>C</v>
      </c>
      <c r="D31" t="str">
        <f t="shared" si="48"/>
        <v/>
      </c>
      <c r="E31" t="str">
        <f t="shared" si="48"/>
        <v/>
      </c>
      <c r="F31" t="str">
        <f t="shared" si="49"/>
        <v/>
      </c>
      <c r="G31" t="str">
        <f t="shared" si="49"/>
        <v/>
      </c>
      <c r="H31">
        <f t="shared" si="50"/>
        <v>5</v>
      </c>
      <c r="I31">
        <f t="shared" si="50"/>
        <v>2</v>
      </c>
      <c r="L31">
        <f t="shared" si="51"/>
        <v>2.6874192494328497</v>
      </c>
      <c r="M31">
        <f t="shared" si="52"/>
        <v>3.9131189606246322</v>
      </c>
      <c r="N31">
        <f t="shared" si="53"/>
        <v>0.5</v>
      </c>
      <c r="O31">
        <f t="shared" si="54"/>
        <v>0.5</v>
      </c>
      <c r="P31" t="str">
        <f t="shared" si="55"/>
        <v>C</v>
      </c>
      <c r="Q31">
        <f t="shared" si="56"/>
        <v>0</v>
      </c>
      <c r="S31">
        <f t="shared" si="57"/>
        <v>-1</v>
      </c>
      <c r="T31">
        <f t="shared" si="36"/>
        <v>-1</v>
      </c>
      <c r="U31">
        <f t="shared" si="37"/>
        <v>-1</v>
      </c>
      <c r="V31">
        <f t="shared" si="38"/>
        <v>-1</v>
      </c>
      <c r="W31">
        <f t="shared" si="39"/>
        <v>5</v>
      </c>
      <c r="X31">
        <f t="shared" si="40"/>
        <v>2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</row>
    <row r="32" spans="1:60">
      <c r="A32">
        <f t="shared" si="46"/>
        <v>4</v>
      </c>
      <c r="B32">
        <f t="shared" si="46"/>
        <v>2</v>
      </c>
      <c r="C32" t="str">
        <f t="shared" si="47"/>
        <v>A</v>
      </c>
      <c r="D32">
        <f t="shared" si="48"/>
        <v>4</v>
      </c>
      <c r="E32">
        <f t="shared" si="48"/>
        <v>2</v>
      </c>
      <c r="F32" t="str">
        <f t="shared" si="49"/>
        <v/>
      </c>
      <c r="G32" t="str">
        <f t="shared" si="49"/>
        <v/>
      </c>
      <c r="H32" t="str">
        <f t="shared" si="50"/>
        <v/>
      </c>
      <c r="I32" t="str">
        <f t="shared" si="50"/>
        <v/>
      </c>
      <c r="L32">
        <f t="shared" si="51"/>
        <v>1.6996731711975948</v>
      </c>
      <c r="M32">
        <f t="shared" si="52"/>
        <v>3.0516389039334255</v>
      </c>
      <c r="N32">
        <f t="shared" si="53"/>
        <v>1.1180339887498949</v>
      </c>
      <c r="O32">
        <f t="shared" si="54"/>
        <v>1.1180339887498949</v>
      </c>
      <c r="P32" t="str">
        <f t="shared" si="55"/>
        <v>C</v>
      </c>
      <c r="Q32">
        <f t="shared" si="56"/>
        <v>1</v>
      </c>
      <c r="S32">
        <f t="shared" si="57"/>
        <v>4</v>
      </c>
      <c r="T32">
        <f t="shared" si="36"/>
        <v>2</v>
      </c>
      <c r="U32">
        <f t="shared" si="37"/>
        <v>-1</v>
      </c>
      <c r="V32">
        <f t="shared" si="38"/>
        <v>-1</v>
      </c>
      <c r="W32">
        <f t="shared" si="39"/>
        <v>-1</v>
      </c>
      <c r="X32">
        <f t="shared" si="40"/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</row>
    <row r="33" spans="1:30">
      <c r="A33">
        <f t="shared" si="46"/>
        <v>5</v>
      </c>
      <c r="B33">
        <f t="shared" si="46"/>
        <v>3</v>
      </c>
      <c r="C33" t="str">
        <f t="shared" si="47"/>
        <v>C</v>
      </c>
      <c r="D33" t="str">
        <f t="shared" si="48"/>
        <v/>
      </c>
      <c r="E33" t="str">
        <f t="shared" si="48"/>
        <v/>
      </c>
      <c r="F33" t="str">
        <f t="shared" si="49"/>
        <v/>
      </c>
      <c r="G33" t="str">
        <f t="shared" si="49"/>
        <v/>
      </c>
      <c r="H33">
        <f t="shared" si="50"/>
        <v>5</v>
      </c>
      <c r="I33">
        <f t="shared" si="50"/>
        <v>3</v>
      </c>
      <c r="L33">
        <f t="shared" si="51"/>
        <v>2.9814239699997196</v>
      </c>
      <c r="M33">
        <f t="shared" si="52"/>
        <v>3.5794552658190883</v>
      </c>
      <c r="N33">
        <f t="shared" si="53"/>
        <v>0.5</v>
      </c>
      <c r="O33">
        <f t="shared" si="54"/>
        <v>0.5</v>
      </c>
      <c r="P33" t="str">
        <f t="shared" si="55"/>
        <v>C</v>
      </c>
      <c r="Q33">
        <f t="shared" si="56"/>
        <v>0</v>
      </c>
      <c r="S33">
        <f t="shared" si="57"/>
        <v>-1</v>
      </c>
      <c r="T33">
        <f t="shared" si="36"/>
        <v>-1</v>
      </c>
      <c r="U33">
        <f t="shared" si="37"/>
        <v>-1</v>
      </c>
      <c r="V33">
        <f t="shared" si="38"/>
        <v>-1</v>
      </c>
      <c r="W33">
        <f t="shared" si="39"/>
        <v>5</v>
      </c>
      <c r="X33">
        <f t="shared" si="40"/>
        <v>3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</row>
    <row r="34" spans="1:30">
      <c r="D34">
        <f t="shared" ref="D34:I34" si="58">AVERAGE(D25:D33)</f>
        <v>2.3333333333333335</v>
      </c>
      <c r="E34">
        <f t="shared" si="58"/>
        <v>1.6666666666666667</v>
      </c>
      <c r="F34">
        <f t="shared" si="58"/>
        <v>1.5</v>
      </c>
      <c r="G34">
        <f t="shared" si="58"/>
        <v>3.75</v>
      </c>
      <c r="H34">
        <f t="shared" si="58"/>
        <v>5</v>
      </c>
      <c r="I34">
        <f t="shared" si="58"/>
        <v>2.5</v>
      </c>
      <c r="Q34">
        <f>SUM(Q25:Q33)</f>
        <v>2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33C36-15A4-47DB-8936-D17FB67EBA0E}">
  <dimension ref="A1:BP44"/>
  <sheetViews>
    <sheetView zoomScaleNormal="100" workbookViewId="0">
      <selection activeCell="U36" sqref="U36:W44"/>
    </sheetView>
  </sheetViews>
  <sheetFormatPr defaultRowHeight="18"/>
  <cols>
    <col min="4" max="15" width="0" hidden="1" customWidth="1"/>
    <col min="34" max="69" width="3" customWidth="1"/>
    <col min="70" max="97" width="3.08203125" customWidth="1"/>
  </cols>
  <sheetData>
    <row r="1" spans="1:68">
      <c r="A1">
        <v>4</v>
      </c>
      <c r="B1">
        <v>4</v>
      </c>
      <c r="C1" t="s">
        <v>0</v>
      </c>
      <c r="D1">
        <f>IF($C1="A",A1,"")</f>
        <v>4</v>
      </c>
      <c r="E1">
        <f>IF($C1="A",B1,"")</f>
        <v>4</v>
      </c>
      <c r="F1" t="str">
        <f>IF($C1="B",A1,"")</f>
        <v/>
      </c>
      <c r="G1" t="str">
        <f>IF($C1="B",B1,"")</f>
        <v/>
      </c>
      <c r="H1" t="str">
        <f>IF($C1="C",A1,"")</f>
        <v/>
      </c>
      <c r="I1" t="str">
        <f>IF($C1="C",B1,"")</f>
        <v/>
      </c>
      <c r="J1">
        <f>D10</f>
        <v>2.6666666666666665</v>
      </c>
      <c r="K1">
        <f>E10</f>
        <v>4</v>
      </c>
      <c r="L1">
        <f>SQRT((A1-D$10)^2+(B1-E$10)^2)</f>
        <v>1.3333333333333335</v>
      </c>
      <c r="M1">
        <f>SQRT((A1-F$10)^2+(B1-G$10)^2)</f>
        <v>2.1343747458109497</v>
      </c>
      <c r="N1">
        <f>SQRT((A1-H$10)^2+(B1-I$10)^2)</f>
        <v>2.4267032964268394</v>
      </c>
      <c r="O1">
        <f>MIN(L1:N1)</f>
        <v>1.3333333333333335</v>
      </c>
      <c r="P1" t="str">
        <f>IF(O1=L1,"A",IF(O1=M1,"B","C"))</f>
        <v>A</v>
      </c>
      <c r="Q1">
        <f>IF(C1=P1,0,1)</f>
        <v>0</v>
      </c>
      <c r="S1">
        <f>IF(D1&lt;&gt;"",D1,-1)</f>
        <v>4</v>
      </c>
      <c r="T1">
        <f t="shared" ref="T1:X9" si="0">IF(E1&lt;&gt;"",E1,-1)</f>
        <v>4</v>
      </c>
      <c r="U1">
        <f t="shared" si="0"/>
        <v>-1</v>
      </c>
      <c r="V1">
        <f t="shared" si="0"/>
        <v>-1</v>
      </c>
      <c r="W1">
        <f t="shared" si="0"/>
        <v>-1</v>
      </c>
      <c r="X1">
        <f t="shared" si="0"/>
        <v>-1</v>
      </c>
      <c r="Y1">
        <f>D10</f>
        <v>2.6666666666666665</v>
      </c>
      <c r="Z1">
        <f t="shared" ref="Z1:AD1" si="1">E10</f>
        <v>4</v>
      </c>
      <c r="AA1">
        <f t="shared" si="1"/>
        <v>2.6666666666666665</v>
      </c>
      <c r="AB1">
        <f t="shared" si="1"/>
        <v>2.3333333333333335</v>
      </c>
      <c r="AC1">
        <f t="shared" si="1"/>
        <v>3.3333333333333335</v>
      </c>
      <c r="AD1">
        <f t="shared" si="1"/>
        <v>1.6666666666666667</v>
      </c>
    </row>
    <row r="2" spans="1:68">
      <c r="A2">
        <v>2</v>
      </c>
      <c r="B2">
        <v>2</v>
      </c>
      <c r="C2" t="s">
        <v>3</v>
      </c>
      <c r="D2" t="str">
        <f t="shared" ref="D2:E9" si="2">IF($C2="A",A2,"")</f>
        <v/>
      </c>
      <c r="E2" t="str">
        <f t="shared" si="2"/>
        <v/>
      </c>
      <c r="F2">
        <f t="shared" ref="F2:G9" si="3">IF($C2="B",A2,"")</f>
        <v>2</v>
      </c>
      <c r="G2">
        <f t="shared" si="3"/>
        <v>2</v>
      </c>
      <c r="H2" t="str">
        <f t="shared" ref="H2:I9" si="4">IF($C2="C",A2,"")</f>
        <v/>
      </c>
      <c r="I2" t="str">
        <f t="shared" si="4"/>
        <v/>
      </c>
      <c r="J2">
        <f>F10</f>
        <v>2.6666666666666665</v>
      </c>
      <c r="K2">
        <f>G10</f>
        <v>2.3333333333333335</v>
      </c>
      <c r="L2">
        <f t="shared" ref="L2:L9" si="5">SQRT((A2-D$10)^2+(B2-E$10)^2)</f>
        <v>2.1081851067789197</v>
      </c>
      <c r="M2">
        <f t="shared" ref="M2:M9" si="6">SQRT((A2-F$10)^2+(B2-G$10)^2)</f>
        <v>0.74535599249992979</v>
      </c>
      <c r="N2">
        <f t="shared" ref="N2:N9" si="7">SQRT((A2-H$10)^2+(B2-I$10)^2)</f>
        <v>1.3743685418725538</v>
      </c>
      <c r="O2">
        <f t="shared" ref="O2:O9" si="8">MIN(L2:N2)</f>
        <v>0.74535599249992979</v>
      </c>
      <c r="P2" t="str">
        <f t="shared" ref="P2:P9" si="9">IF(O2=L2,"A",IF(O2=M2,"B","C"))</f>
        <v>B</v>
      </c>
      <c r="Q2">
        <f t="shared" ref="Q2:Q9" si="10">IF(C2=P2,0,1)</f>
        <v>0</v>
      </c>
      <c r="S2">
        <f t="shared" ref="S2:S9" si="11">IF(D2&lt;&gt;"",D2,-1)</f>
        <v>-1</v>
      </c>
      <c r="T2">
        <f t="shared" si="0"/>
        <v>-1</v>
      </c>
      <c r="U2">
        <f t="shared" si="0"/>
        <v>2</v>
      </c>
      <c r="V2">
        <f t="shared" si="0"/>
        <v>2</v>
      </c>
      <c r="W2">
        <f t="shared" si="0"/>
        <v>-1</v>
      </c>
      <c r="X2">
        <f t="shared" si="0"/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BH2" s="1"/>
    </row>
    <row r="3" spans="1:68">
      <c r="A3">
        <v>5</v>
      </c>
      <c r="B3">
        <v>1</v>
      </c>
      <c r="C3" t="s">
        <v>5</v>
      </c>
      <c r="D3" t="str">
        <f t="shared" si="2"/>
        <v/>
      </c>
      <c r="E3" t="str">
        <f t="shared" si="2"/>
        <v/>
      </c>
      <c r="F3" t="str">
        <f t="shared" si="3"/>
        <v/>
      </c>
      <c r="G3" t="str">
        <f t="shared" si="3"/>
        <v/>
      </c>
      <c r="H3">
        <f t="shared" si="4"/>
        <v>5</v>
      </c>
      <c r="I3">
        <f t="shared" si="4"/>
        <v>1</v>
      </c>
      <c r="J3">
        <f>H10</f>
        <v>3.3333333333333335</v>
      </c>
      <c r="K3">
        <f>I10</f>
        <v>1.6666666666666667</v>
      </c>
      <c r="L3">
        <f t="shared" si="5"/>
        <v>3.8005847503304602</v>
      </c>
      <c r="M3">
        <f t="shared" si="6"/>
        <v>2.6874192494328502</v>
      </c>
      <c r="N3">
        <f t="shared" si="7"/>
        <v>1.7950549357115013</v>
      </c>
      <c r="O3">
        <f t="shared" si="8"/>
        <v>1.7950549357115013</v>
      </c>
      <c r="P3" t="str">
        <f t="shared" si="9"/>
        <v>C</v>
      </c>
      <c r="Q3">
        <f t="shared" si="10"/>
        <v>0</v>
      </c>
      <c r="S3">
        <f t="shared" si="11"/>
        <v>-1</v>
      </c>
      <c r="T3">
        <f t="shared" si="0"/>
        <v>-1</v>
      </c>
      <c r="U3">
        <f t="shared" si="0"/>
        <v>-1</v>
      </c>
      <c r="V3">
        <f t="shared" si="0"/>
        <v>-1</v>
      </c>
      <c r="W3">
        <f t="shared" si="0"/>
        <v>5</v>
      </c>
      <c r="X3">
        <f t="shared" si="0"/>
        <v>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BH3" s="1"/>
    </row>
    <row r="4" spans="1:68">
      <c r="A4">
        <v>1</v>
      </c>
      <c r="B4">
        <v>5</v>
      </c>
      <c r="C4" t="s">
        <v>1</v>
      </c>
      <c r="D4">
        <f t="shared" si="2"/>
        <v>1</v>
      </c>
      <c r="E4">
        <f t="shared" si="2"/>
        <v>5</v>
      </c>
      <c r="F4" t="str">
        <f t="shared" si="3"/>
        <v/>
      </c>
      <c r="G4" t="str">
        <f t="shared" si="3"/>
        <v/>
      </c>
      <c r="H4" t="str">
        <f t="shared" si="4"/>
        <v/>
      </c>
      <c r="I4" t="str">
        <f t="shared" si="4"/>
        <v/>
      </c>
      <c r="L4">
        <f t="shared" si="5"/>
        <v>1.9436506316151001</v>
      </c>
      <c r="M4">
        <f t="shared" si="6"/>
        <v>3.1446603773522011</v>
      </c>
      <c r="N4">
        <f t="shared" si="7"/>
        <v>4.0688518719112343</v>
      </c>
      <c r="O4">
        <f t="shared" si="8"/>
        <v>1.9436506316151001</v>
      </c>
      <c r="P4" t="str">
        <f t="shared" si="9"/>
        <v>A</v>
      </c>
      <c r="Q4">
        <f t="shared" si="10"/>
        <v>0</v>
      </c>
      <c r="S4">
        <f t="shared" si="11"/>
        <v>1</v>
      </c>
      <c r="T4">
        <f t="shared" si="0"/>
        <v>5</v>
      </c>
      <c r="U4">
        <f t="shared" si="0"/>
        <v>-1</v>
      </c>
      <c r="V4">
        <f t="shared" si="0"/>
        <v>-1</v>
      </c>
      <c r="W4">
        <f t="shared" si="0"/>
        <v>-1</v>
      </c>
      <c r="X4">
        <f t="shared" si="0"/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BH4" s="1"/>
    </row>
    <row r="5" spans="1:68">
      <c r="A5">
        <v>2</v>
      </c>
      <c r="B5">
        <v>1</v>
      </c>
      <c r="C5" t="s">
        <v>3</v>
      </c>
      <c r="D5" t="str">
        <f t="shared" si="2"/>
        <v/>
      </c>
      <c r="E5" t="str">
        <f t="shared" si="2"/>
        <v/>
      </c>
      <c r="F5">
        <f t="shared" si="3"/>
        <v>2</v>
      </c>
      <c r="G5">
        <f t="shared" si="3"/>
        <v>1</v>
      </c>
      <c r="H5" t="str">
        <f t="shared" si="4"/>
        <v/>
      </c>
      <c r="I5" t="str">
        <f t="shared" si="4"/>
        <v/>
      </c>
      <c r="L5">
        <f t="shared" si="5"/>
        <v>3.0731814857642958</v>
      </c>
      <c r="M5">
        <f t="shared" si="6"/>
        <v>1.4907119849998598</v>
      </c>
      <c r="N5">
        <f t="shared" si="7"/>
        <v>1.49071198499986</v>
      </c>
      <c r="O5">
        <f t="shared" si="8"/>
        <v>1.4907119849998598</v>
      </c>
      <c r="P5" t="str">
        <f t="shared" si="9"/>
        <v>B</v>
      </c>
      <c r="Q5">
        <f t="shared" si="10"/>
        <v>0</v>
      </c>
      <c r="S5">
        <f t="shared" si="11"/>
        <v>-1</v>
      </c>
      <c r="T5">
        <f t="shared" si="0"/>
        <v>-1</v>
      </c>
      <c r="U5">
        <f t="shared" si="0"/>
        <v>2</v>
      </c>
      <c r="V5">
        <f t="shared" si="0"/>
        <v>1</v>
      </c>
      <c r="W5">
        <f t="shared" si="0"/>
        <v>-1</v>
      </c>
      <c r="X5">
        <f t="shared" si="0"/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BH5" s="1"/>
    </row>
    <row r="6" spans="1:68">
      <c r="A6">
        <v>4</v>
      </c>
      <c r="B6">
        <v>2</v>
      </c>
      <c r="C6" t="s">
        <v>5</v>
      </c>
      <c r="D6" t="str">
        <f t="shared" si="2"/>
        <v/>
      </c>
      <c r="E6" t="str">
        <f t="shared" si="2"/>
        <v/>
      </c>
      <c r="F6" t="str">
        <f t="shared" si="3"/>
        <v/>
      </c>
      <c r="G6" t="str">
        <f t="shared" si="3"/>
        <v/>
      </c>
      <c r="H6">
        <f t="shared" si="4"/>
        <v>4</v>
      </c>
      <c r="I6">
        <f t="shared" si="4"/>
        <v>2</v>
      </c>
      <c r="L6">
        <f t="shared" si="5"/>
        <v>2.4037008503093262</v>
      </c>
      <c r="M6">
        <f t="shared" si="6"/>
        <v>1.3743685418725538</v>
      </c>
      <c r="N6">
        <f t="shared" si="7"/>
        <v>0.74535599249992979</v>
      </c>
      <c r="O6">
        <f t="shared" si="8"/>
        <v>0.74535599249992979</v>
      </c>
      <c r="P6" t="str">
        <f t="shared" si="9"/>
        <v>C</v>
      </c>
      <c r="Q6">
        <f t="shared" si="10"/>
        <v>0</v>
      </c>
      <c r="S6">
        <f t="shared" si="11"/>
        <v>-1</v>
      </c>
      <c r="T6">
        <f t="shared" si="0"/>
        <v>-1</v>
      </c>
      <c r="U6">
        <f t="shared" si="0"/>
        <v>-1</v>
      </c>
      <c r="V6">
        <f t="shared" si="0"/>
        <v>-1</v>
      </c>
      <c r="W6">
        <f t="shared" si="0"/>
        <v>4</v>
      </c>
      <c r="X6">
        <f t="shared" si="0"/>
        <v>2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BH6" s="1"/>
    </row>
    <row r="7" spans="1:68">
      <c r="A7">
        <v>3</v>
      </c>
      <c r="B7">
        <v>3</v>
      </c>
      <c r="C7" t="s">
        <v>1</v>
      </c>
      <c r="D7">
        <f t="shared" si="2"/>
        <v>3</v>
      </c>
      <c r="E7">
        <f t="shared" si="2"/>
        <v>3</v>
      </c>
      <c r="F7" t="str">
        <f t="shared" si="3"/>
        <v/>
      </c>
      <c r="G7" t="str">
        <f t="shared" si="3"/>
        <v/>
      </c>
      <c r="H7" t="str">
        <f t="shared" si="4"/>
        <v/>
      </c>
      <c r="I7" t="str">
        <f t="shared" si="4"/>
        <v/>
      </c>
      <c r="L7">
        <f t="shared" si="5"/>
        <v>1.0540925533894598</v>
      </c>
      <c r="M7">
        <f t="shared" si="6"/>
        <v>0.74535599249992979</v>
      </c>
      <c r="N7">
        <f t="shared" si="7"/>
        <v>1.3743685418725535</v>
      </c>
      <c r="O7">
        <f t="shared" si="8"/>
        <v>0.74535599249992979</v>
      </c>
      <c r="P7" t="str">
        <f t="shared" si="9"/>
        <v>B</v>
      </c>
      <c r="Q7">
        <f t="shared" si="10"/>
        <v>1</v>
      </c>
      <c r="S7">
        <f t="shared" si="11"/>
        <v>3</v>
      </c>
      <c r="T7">
        <f t="shared" si="0"/>
        <v>3</v>
      </c>
      <c r="U7">
        <f t="shared" si="0"/>
        <v>-1</v>
      </c>
      <c r="V7">
        <f t="shared" si="0"/>
        <v>-1</v>
      </c>
      <c r="W7">
        <f t="shared" si="0"/>
        <v>-1</v>
      </c>
      <c r="X7">
        <f t="shared" si="0"/>
        <v>-1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BH7" s="1"/>
    </row>
    <row r="8" spans="1:68">
      <c r="A8">
        <v>4</v>
      </c>
      <c r="B8">
        <v>4</v>
      </c>
      <c r="C8" t="s">
        <v>3</v>
      </c>
      <c r="D8" t="str">
        <f t="shared" si="2"/>
        <v/>
      </c>
      <c r="E8" t="str">
        <f t="shared" si="2"/>
        <v/>
      </c>
      <c r="F8">
        <f t="shared" si="3"/>
        <v>4</v>
      </c>
      <c r="G8">
        <f t="shared" si="3"/>
        <v>4</v>
      </c>
      <c r="H8" t="str">
        <f t="shared" si="4"/>
        <v/>
      </c>
      <c r="I8" t="str">
        <f t="shared" si="4"/>
        <v/>
      </c>
      <c r="L8">
        <f t="shared" si="5"/>
        <v>1.3333333333333335</v>
      </c>
      <c r="M8">
        <f t="shared" si="6"/>
        <v>2.1343747458109497</v>
      </c>
      <c r="N8">
        <f t="shared" si="7"/>
        <v>2.4267032964268394</v>
      </c>
      <c r="O8">
        <f t="shared" si="8"/>
        <v>1.3333333333333335</v>
      </c>
      <c r="P8" t="str">
        <f t="shared" si="9"/>
        <v>A</v>
      </c>
      <c r="Q8">
        <f t="shared" si="10"/>
        <v>1</v>
      </c>
      <c r="S8">
        <f t="shared" si="11"/>
        <v>-1</v>
      </c>
      <c r="T8">
        <f t="shared" si="0"/>
        <v>-1</v>
      </c>
      <c r="U8">
        <f t="shared" si="0"/>
        <v>4</v>
      </c>
      <c r="V8">
        <f t="shared" si="0"/>
        <v>4</v>
      </c>
      <c r="W8">
        <f t="shared" si="0"/>
        <v>-1</v>
      </c>
      <c r="X8">
        <f t="shared" si="0"/>
        <v>-1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BH8" s="1"/>
    </row>
    <row r="9" spans="1:68">
      <c r="A9">
        <v>1</v>
      </c>
      <c r="B9">
        <v>2</v>
      </c>
      <c r="C9" t="s">
        <v>4</v>
      </c>
      <c r="D9" t="str">
        <f t="shared" si="2"/>
        <v/>
      </c>
      <c r="E9" t="str">
        <f t="shared" si="2"/>
        <v/>
      </c>
      <c r="F9" t="str">
        <f t="shared" si="3"/>
        <v/>
      </c>
      <c r="G9" t="str">
        <f t="shared" si="3"/>
        <v/>
      </c>
      <c r="H9">
        <f t="shared" si="4"/>
        <v>1</v>
      </c>
      <c r="I9">
        <f t="shared" si="4"/>
        <v>2</v>
      </c>
      <c r="L9">
        <f t="shared" si="5"/>
        <v>2.6034165586355513</v>
      </c>
      <c r="M9">
        <f t="shared" si="6"/>
        <v>1.6996731711975948</v>
      </c>
      <c r="N9">
        <f t="shared" si="7"/>
        <v>2.3570226039551585</v>
      </c>
      <c r="O9">
        <f t="shared" si="8"/>
        <v>1.6996731711975948</v>
      </c>
      <c r="P9" t="str">
        <f t="shared" si="9"/>
        <v>B</v>
      </c>
      <c r="Q9">
        <f t="shared" si="10"/>
        <v>1</v>
      </c>
      <c r="S9">
        <f t="shared" si="11"/>
        <v>-1</v>
      </c>
      <c r="T9">
        <f t="shared" si="0"/>
        <v>-1</v>
      </c>
      <c r="U9">
        <f t="shared" si="0"/>
        <v>-1</v>
      </c>
      <c r="V9">
        <f t="shared" si="0"/>
        <v>-1</v>
      </c>
      <c r="W9">
        <f t="shared" si="0"/>
        <v>1</v>
      </c>
      <c r="X9">
        <f t="shared" si="0"/>
        <v>2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BH9" s="1"/>
    </row>
    <row r="10" spans="1:68">
      <c r="D10">
        <f t="shared" ref="D10:I10" si="12">AVERAGE(D1:D9)</f>
        <v>2.6666666666666665</v>
      </c>
      <c r="E10">
        <f t="shared" si="12"/>
        <v>4</v>
      </c>
      <c r="F10">
        <f t="shared" si="12"/>
        <v>2.6666666666666665</v>
      </c>
      <c r="G10">
        <f t="shared" si="12"/>
        <v>2.3333333333333335</v>
      </c>
      <c r="H10">
        <f t="shared" si="12"/>
        <v>3.3333333333333335</v>
      </c>
      <c r="I10">
        <f t="shared" si="12"/>
        <v>1.6666666666666667</v>
      </c>
      <c r="Q10">
        <f>SUM(Q1:Q9)</f>
        <v>3</v>
      </c>
      <c r="BH10" s="1"/>
    </row>
    <row r="11" spans="1:68">
      <c r="BH11" s="1"/>
    </row>
    <row r="12" spans="1:68">
      <c r="BH12" s="1"/>
      <c r="BP12" t="s">
        <v>6</v>
      </c>
    </row>
    <row r="13" spans="1:68">
      <c r="A13">
        <f>A1</f>
        <v>4</v>
      </c>
      <c r="B13">
        <f>B1</f>
        <v>4</v>
      </c>
      <c r="C13" t="str">
        <f>P1</f>
        <v>A</v>
      </c>
      <c r="D13">
        <f>IF($C13="A",A13,"")</f>
        <v>4</v>
      </c>
      <c r="E13">
        <f>IF($C13="A",B13,"")</f>
        <v>4</v>
      </c>
      <c r="F13" t="str">
        <f>IF($C13="B",A13,"")</f>
        <v/>
      </c>
      <c r="G13" t="str">
        <f>IF($C13="B",B13,"")</f>
        <v/>
      </c>
      <c r="H13" t="str">
        <f>IF($C13="C",A13,"")</f>
        <v/>
      </c>
      <c r="I13" t="str">
        <f>IF($C13="C",B13,"")</f>
        <v/>
      </c>
      <c r="J13">
        <f>D22</f>
        <v>3</v>
      </c>
      <c r="K13">
        <f>E22</f>
        <v>4.333333333333333</v>
      </c>
      <c r="L13">
        <f>SQRT((A13-D$22)^2+(B13-E$22)^2)</f>
        <v>1.0540925533894596</v>
      </c>
      <c r="M13">
        <f>SQRT((A13-F$22)^2+(B13-G$22)^2)</f>
        <v>2.8284271247461903</v>
      </c>
      <c r="N13">
        <f>SQRT((A13-H$22)^2+(B13-I$22)^2)</f>
        <v>2.5495097567963922</v>
      </c>
      <c r="O13">
        <f>MIN(L13:N13)</f>
        <v>1.0540925533894596</v>
      </c>
      <c r="P13" t="str">
        <f>IF(O13=L13,"A",IF(O13=M13,"B","C"))</f>
        <v>A</v>
      </c>
      <c r="Q13">
        <f>IF(C13=P13,0,1)</f>
        <v>0</v>
      </c>
      <c r="S13">
        <f>IF(D13&lt;&gt;"",D13,-1)</f>
        <v>4</v>
      </c>
      <c r="T13">
        <f t="shared" ref="T13:X21" si="13">IF(E13&lt;&gt;"",E13,-1)</f>
        <v>4</v>
      </c>
      <c r="U13">
        <f t="shared" si="13"/>
        <v>-1</v>
      </c>
      <c r="V13">
        <f t="shared" si="13"/>
        <v>-1</v>
      </c>
      <c r="W13">
        <f t="shared" si="13"/>
        <v>-1</v>
      </c>
      <c r="X13">
        <f t="shared" si="13"/>
        <v>-1</v>
      </c>
      <c r="Y13">
        <f>D22</f>
        <v>3</v>
      </c>
      <c r="Z13">
        <f t="shared" ref="Z13:AD13" si="14">E22</f>
        <v>4.333333333333333</v>
      </c>
      <c r="AA13">
        <f t="shared" si="14"/>
        <v>2</v>
      </c>
      <c r="AB13">
        <f t="shared" si="14"/>
        <v>2</v>
      </c>
      <c r="AC13">
        <f t="shared" si="14"/>
        <v>4.5</v>
      </c>
      <c r="AD13">
        <f t="shared" si="14"/>
        <v>1.5</v>
      </c>
      <c r="BH13" s="1"/>
    </row>
    <row r="14" spans="1:68">
      <c r="A14">
        <f t="shared" ref="A14:B21" si="15">A2</f>
        <v>2</v>
      </c>
      <c r="B14">
        <f t="shared" si="15"/>
        <v>2</v>
      </c>
      <c r="C14" t="str">
        <f t="shared" ref="C14:C21" si="16">P2</f>
        <v>B</v>
      </c>
      <c r="D14" t="str">
        <f t="shared" ref="D14:E21" si="17">IF($C14="A",A14,"")</f>
        <v/>
      </c>
      <c r="E14" t="str">
        <f t="shared" si="17"/>
        <v/>
      </c>
      <c r="F14">
        <f t="shared" ref="F14:G21" si="18">IF($C14="B",A14,"")</f>
        <v>2</v>
      </c>
      <c r="G14">
        <f t="shared" si="18"/>
        <v>2</v>
      </c>
      <c r="H14" t="str">
        <f t="shared" ref="H14:I21" si="19">IF($C14="C",A14,"")</f>
        <v/>
      </c>
      <c r="I14" t="str">
        <f t="shared" si="19"/>
        <v/>
      </c>
      <c r="J14">
        <f>F22</f>
        <v>2</v>
      </c>
      <c r="K14">
        <f>G22</f>
        <v>2</v>
      </c>
      <c r="L14">
        <f t="shared" ref="L14:L21" si="20">SQRT((A14-D$22)^2+(B14-E$22)^2)</f>
        <v>2.5385910352879693</v>
      </c>
      <c r="M14">
        <f t="shared" ref="M14:M21" si="21">SQRT((A14-F$22)^2+(B14-G$22)^2)</f>
        <v>0</v>
      </c>
      <c r="N14">
        <f t="shared" ref="N14:N21" si="22">SQRT((A14-H$22)^2+(B14-I$22)^2)</f>
        <v>2.5495097567963922</v>
      </c>
      <c r="O14">
        <f t="shared" ref="O14:O21" si="23">MIN(L14:N14)</f>
        <v>0</v>
      </c>
      <c r="P14" t="str">
        <f t="shared" ref="P14:P21" si="24">IF(O14=L14,"A",IF(O14=M14,"B","C"))</f>
        <v>B</v>
      </c>
      <c r="Q14">
        <f t="shared" ref="Q14:Q21" si="25">IF(C14=P14,0,1)</f>
        <v>0</v>
      </c>
      <c r="S14">
        <f t="shared" ref="S14:S21" si="26">IF(D14&lt;&gt;"",D14,-1)</f>
        <v>-1</v>
      </c>
      <c r="T14">
        <f t="shared" si="13"/>
        <v>-1</v>
      </c>
      <c r="U14">
        <f t="shared" si="13"/>
        <v>2</v>
      </c>
      <c r="V14">
        <f t="shared" si="13"/>
        <v>2</v>
      </c>
      <c r="W14">
        <f t="shared" si="13"/>
        <v>-1</v>
      </c>
      <c r="X14">
        <f t="shared" si="13"/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BH14" s="1"/>
    </row>
    <row r="15" spans="1:68">
      <c r="A15">
        <f t="shared" si="15"/>
        <v>5</v>
      </c>
      <c r="B15">
        <f t="shared" si="15"/>
        <v>1</v>
      </c>
      <c r="C15" t="str">
        <f t="shared" si="16"/>
        <v>C</v>
      </c>
      <c r="D15" t="str">
        <f t="shared" si="17"/>
        <v/>
      </c>
      <c r="E15" t="str">
        <f t="shared" si="17"/>
        <v/>
      </c>
      <c r="F15" t="str">
        <f t="shared" si="18"/>
        <v/>
      </c>
      <c r="G15" t="str">
        <f t="shared" si="18"/>
        <v/>
      </c>
      <c r="H15">
        <f t="shared" si="19"/>
        <v>5</v>
      </c>
      <c r="I15">
        <f t="shared" si="19"/>
        <v>1</v>
      </c>
      <c r="J15">
        <f>H22</f>
        <v>4.5</v>
      </c>
      <c r="K15">
        <f>I22</f>
        <v>1.5</v>
      </c>
      <c r="L15">
        <f t="shared" si="20"/>
        <v>3.8873012632302002</v>
      </c>
      <c r="M15">
        <f t="shared" si="21"/>
        <v>3.1622776601683795</v>
      </c>
      <c r="N15">
        <f t="shared" si="22"/>
        <v>0.70710678118654757</v>
      </c>
      <c r="O15">
        <f t="shared" si="23"/>
        <v>0.70710678118654757</v>
      </c>
      <c r="P15" t="str">
        <f t="shared" si="24"/>
        <v>C</v>
      </c>
      <c r="Q15">
        <f t="shared" si="25"/>
        <v>0</v>
      </c>
      <c r="S15">
        <f t="shared" si="26"/>
        <v>-1</v>
      </c>
      <c r="T15">
        <f t="shared" si="13"/>
        <v>-1</v>
      </c>
      <c r="U15">
        <f t="shared" si="13"/>
        <v>-1</v>
      </c>
      <c r="V15">
        <f t="shared" si="13"/>
        <v>-1</v>
      </c>
      <c r="W15">
        <f t="shared" si="13"/>
        <v>5</v>
      </c>
      <c r="X15">
        <f t="shared" si="13"/>
        <v>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BH15" s="1"/>
    </row>
    <row r="16" spans="1:68">
      <c r="A16">
        <f t="shared" si="15"/>
        <v>1</v>
      </c>
      <c r="B16">
        <f t="shared" si="15"/>
        <v>5</v>
      </c>
      <c r="C16" t="str">
        <f t="shared" si="16"/>
        <v>A</v>
      </c>
      <c r="D16">
        <f t="shared" si="17"/>
        <v>1</v>
      </c>
      <c r="E16">
        <f t="shared" si="17"/>
        <v>5</v>
      </c>
      <c r="F16" t="str">
        <f t="shared" si="18"/>
        <v/>
      </c>
      <c r="G16" t="str">
        <f t="shared" si="18"/>
        <v/>
      </c>
      <c r="H16" t="str">
        <f t="shared" si="19"/>
        <v/>
      </c>
      <c r="I16" t="str">
        <f t="shared" si="19"/>
        <v/>
      </c>
      <c r="L16">
        <f t="shared" si="20"/>
        <v>2.1081851067789197</v>
      </c>
      <c r="M16">
        <f t="shared" si="21"/>
        <v>3.1622776601683795</v>
      </c>
      <c r="N16">
        <f t="shared" si="22"/>
        <v>4.9497474683058327</v>
      </c>
      <c r="O16">
        <f t="shared" si="23"/>
        <v>2.1081851067789197</v>
      </c>
      <c r="P16" t="str">
        <f t="shared" si="24"/>
        <v>A</v>
      </c>
      <c r="Q16">
        <f t="shared" si="25"/>
        <v>0</v>
      </c>
      <c r="S16">
        <f t="shared" si="26"/>
        <v>1</v>
      </c>
      <c r="T16">
        <f t="shared" si="13"/>
        <v>5</v>
      </c>
      <c r="U16">
        <f t="shared" si="13"/>
        <v>-1</v>
      </c>
      <c r="V16">
        <f t="shared" si="13"/>
        <v>-1</v>
      </c>
      <c r="W16">
        <f t="shared" si="13"/>
        <v>-1</v>
      </c>
      <c r="X16">
        <f t="shared" si="13"/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BH16" s="1"/>
    </row>
    <row r="17" spans="1:60">
      <c r="A17">
        <f t="shared" si="15"/>
        <v>2</v>
      </c>
      <c r="B17">
        <f t="shared" si="15"/>
        <v>1</v>
      </c>
      <c r="C17" t="str">
        <f t="shared" si="16"/>
        <v>B</v>
      </c>
      <c r="D17" t="str">
        <f t="shared" si="17"/>
        <v/>
      </c>
      <c r="E17" t="str">
        <f t="shared" si="17"/>
        <v/>
      </c>
      <c r="F17">
        <f t="shared" si="18"/>
        <v>2</v>
      </c>
      <c r="G17">
        <f t="shared" si="18"/>
        <v>1</v>
      </c>
      <c r="H17" t="str">
        <f t="shared" si="19"/>
        <v/>
      </c>
      <c r="I17" t="str">
        <f t="shared" si="19"/>
        <v/>
      </c>
      <c r="L17">
        <f t="shared" si="20"/>
        <v>3.4801021696368499</v>
      </c>
      <c r="M17">
        <f t="shared" si="21"/>
        <v>1</v>
      </c>
      <c r="N17">
        <f t="shared" si="22"/>
        <v>2.5495097567963922</v>
      </c>
      <c r="O17">
        <f t="shared" si="23"/>
        <v>1</v>
      </c>
      <c r="P17" t="str">
        <f t="shared" si="24"/>
        <v>B</v>
      </c>
      <c r="Q17">
        <f t="shared" si="25"/>
        <v>0</v>
      </c>
      <c r="S17">
        <f t="shared" si="26"/>
        <v>-1</v>
      </c>
      <c r="T17">
        <f t="shared" si="13"/>
        <v>-1</v>
      </c>
      <c r="U17">
        <f t="shared" si="13"/>
        <v>2</v>
      </c>
      <c r="V17">
        <f t="shared" si="13"/>
        <v>1</v>
      </c>
      <c r="W17">
        <f t="shared" si="13"/>
        <v>-1</v>
      </c>
      <c r="X17">
        <f t="shared" si="13"/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</row>
    <row r="18" spans="1:60">
      <c r="A18">
        <f t="shared" si="15"/>
        <v>4</v>
      </c>
      <c r="B18">
        <f t="shared" si="15"/>
        <v>2</v>
      </c>
      <c r="C18" t="str">
        <f t="shared" si="16"/>
        <v>C</v>
      </c>
      <c r="D18" t="str">
        <f t="shared" si="17"/>
        <v/>
      </c>
      <c r="E18" t="str">
        <f t="shared" si="17"/>
        <v/>
      </c>
      <c r="F18" t="str">
        <f t="shared" si="18"/>
        <v/>
      </c>
      <c r="G18" t="str">
        <f t="shared" si="18"/>
        <v/>
      </c>
      <c r="H18">
        <f t="shared" si="19"/>
        <v>4</v>
      </c>
      <c r="I18">
        <f t="shared" si="19"/>
        <v>2</v>
      </c>
      <c r="L18">
        <f t="shared" si="20"/>
        <v>2.5385910352879693</v>
      </c>
      <c r="M18">
        <f t="shared" si="21"/>
        <v>2</v>
      </c>
      <c r="N18">
        <f t="shared" si="22"/>
        <v>0.70710678118654757</v>
      </c>
      <c r="O18">
        <f t="shared" si="23"/>
        <v>0.70710678118654757</v>
      </c>
      <c r="P18" t="str">
        <f t="shared" si="24"/>
        <v>C</v>
      </c>
      <c r="Q18">
        <f t="shared" si="25"/>
        <v>0</v>
      </c>
      <c r="S18">
        <f t="shared" si="26"/>
        <v>-1</v>
      </c>
      <c r="T18">
        <f t="shared" si="13"/>
        <v>-1</v>
      </c>
      <c r="U18">
        <f t="shared" si="13"/>
        <v>-1</v>
      </c>
      <c r="V18">
        <f t="shared" si="13"/>
        <v>-1</v>
      </c>
      <c r="W18">
        <f t="shared" si="13"/>
        <v>4</v>
      </c>
      <c r="X18">
        <f t="shared" si="13"/>
        <v>2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</row>
    <row r="19" spans="1:60">
      <c r="A19">
        <f t="shared" si="15"/>
        <v>3</v>
      </c>
      <c r="B19">
        <f t="shared" si="15"/>
        <v>3</v>
      </c>
      <c r="C19" t="str">
        <f t="shared" si="16"/>
        <v>B</v>
      </c>
      <c r="D19" t="str">
        <f t="shared" si="17"/>
        <v/>
      </c>
      <c r="E19" t="str">
        <f t="shared" si="17"/>
        <v/>
      </c>
      <c r="F19">
        <f t="shared" si="18"/>
        <v>3</v>
      </c>
      <c r="G19">
        <f t="shared" si="18"/>
        <v>3</v>
      </c>
      <c r="H19" t="str">
        <f t="shared" si="19"/>
        <v/>
      </c>
      <c r="I19" t="str">
        <f t="shared" si="19"/>
        <v/>
      </c>
      <c r="L19">
        <f t="shared" si="20"/>
        <v>1.333333333333333</v>
      </c>
      <c r="M19">
        <f t="shared" si="21"/>
        <v>1.4142135623730951</v>
      </c>
      <c r="N19">
        <f t="shared" si="22"/>
        <v>2.1213203435596424</v>
      </c>
      <c r="O19">
        <f t="shared" si="23"/>
        <v>1.333333333333333</v>
      </c>
      <c r="P19" t="str">
        <f t="shared" si="24"/>
        <v>A</v>
      </c>
      <c r="Q19">
        <f t="shared" si="25"/>
        <v>1</v>
      </c>
      <c r="S19">
        <f t="shared" si="26"/>
        <v>-1</v>
      </c>
      <c r="T19">
        <f t="shared" si="13"/>
        <v>-1</v>
      </c>
      <c r="U19">
        <f t="shared" si="13"/>
        <v>3</v>
      </c>
      <c r="V19">
        <f t="shared" si="13"/>
        <v>3</v>
      </c>
      <c r="W19">
        <f t="shared" si="13"/>
        <v>-1</v>
      </c>
      <c r="X19">
        <f t="shared" si="13"/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</row>
    <row r="20" spans="1:60">
      <c r="A20">
        <f t="shared" si="15"/>
        <v>4</v>
      </c>
      <c r="B20">
        <f t="shared" si="15"/>
        <v>4</v>
      </c>
      <c r="C20" t="str">
        <f t="shared" si="16"/>
        <v>A</v>
      </c>
      <c r="D20">
        <f t="shared" si="17"/>
        <v>4</v>
      </c>
      <c r="E20">
        <f t="shared" si="17"/>
        <v>4</v>
      </c>
      <c r="F20" t="str">
        <f t="shared" si="18"/>
        <v/>
      </c>
      <c r="G20" t="str">
        <f t="shared" si="18"/>
        <v/>
      </c>
      <c r="H20" t="str">
        <f t="shared" si="19"/>
        <v/>
      </c>
      <c r="I20" t="str">
        <f t="shared" si="19"/>
        <v/>
      </c>
      <c r="L20">
        <f t="shared" si="20"/>
        <v>1.0540925533894596</v>
      </c>
      <c r="M20">
        <f t="shared" si="21"/>
        <v>2.8284271247461903</v>
      </c>
      <c r="N20">
        <f t="shared" si="22"/>
        <v>2.5495097567963922</v>
      </c>
      <c r="O20">
        <f t="shared" si="23"/>
        <v>1.0540925533894596</v>
      </c>
      <c r="P20" t="str">
        <f t="shared" si="24"/>
        <v>A</v>
      </c>
      <c r="Q20">
        <f t="shared" si="25"/>
        <v>0</v>
      </c>
      <c r="S20">
        <f t="shared" si="26"/>
        <v>4</v>
      </c>
      <c r="T20">
        <f t="shared" si="13"/>
        <v>4</v>
      </c>
      <c r="U20">
        <f t="shared" si="13"/>
        <v>-1</v>
      </c>
      <c r="V20">
        <f t="shared" si="13"/>
        <v>-1</v>
      </c>
      <c r="W20">
        <f t="shared" si="13"/>
        <v>-1</v>
      </c>
      <c r="X20">
        <f t="shared" si="13"/>
        <v>-1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60">
      <c r="A21">
        <f t="shared" si="15"/>
        <v>1</v>
      </c>
      <c r="B21">
        <f t="shared" si="15"/>
        <v>2</v>
      </c>
      <c r="C21" t="str">
        <f t="shared" si="16"/>
        <v>B</v>
      </c>
      <c r="D21" t="str">
        <f t="shared" si="17"/>
        <v/>
      </c>
      <c r="E21" t="str">
        <f t="shared" si="17"/>
        <v/>
      </c>
      <c r="F21">
        <f t="shared" si="18"/>
        <v>1</v>
      </c>
      <c r="G21">
        <f t="shared" si="18"/>
        <v>2</v>
      </c>
      <c r="H21" t="str">
        <f t="shared" si="19"/>
        <v/>
      </c>
      <c r="I21" t="str">
        <f t="shared" si="19"/>
        <v/>
      </c>
      <c r="L21">
        <f t="shared" si="20"/>
        <v>3.0731814857642954</v>
      </c>
      <c r="M21">
        <f t="shared" si="21"/>
        <v>1</v>
      </c>
      <c r="N21">
        <f t="shared" si="22"/>
        <v>3.5355339059327378</v>
      </c>
      <c r="O21">
        <f t="shared" si="23"/>
        <v>1</v>
      </c>
      <c r="P21" t="str">
        <f t="shared" si="24"/>
        <v>B</v>
      </c>
      <c r="Q21">
        <f t="shared" si="25"/>
        <v>0</v>
      </c>
      <c r="S21">
        <f t="shared" si="26"/>
        <v>-1</v>
      </c>
      <c r="T21">
        <f t="shared" si="13"/>
        <v>-1</v>
      </c>
      <c r="U21">
        <f t="shared" si="13"/>
        <v>1</v>
      </c>
      <c r="V21">
        <f t="shared" si="13"/>
        <v>2</v>
      </c>
      <c r="W21">
        <f t="shared" si="13"/>
        <v>-1</v>
      </c>
      <c r="X21">
        <f t="shared" si="13"/>
        <v>-1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</row>
    <row r="22" spans="1:60">
      <c r="D22">
        <f t="shared" ref="D22:I22" si="27">AVERAGE(D13:D21)</f>
        <v>3</v>
      </c>
      <c r="E22">
        <f t="shared" si="27"/>
        <v>4.333333333333333</v>
      </c>
      <c r="F22">
        <f t="shared" si="27"/>
        <v>2</v>
      </c>
      <c r="G22">
        <f t="shared" si="27"/>
        <v>2</v>
      </c>
      <c r="H22">
        <f t="shared" si="27"/>
        <v>4.5</v>
      </c>
      <c r="I22">
        <f t="shared" si="27"/>
        <v>1.5</v>
      </c>
      <c r="Q22">
        <f>SUM(Q13:Q21)</f>
        <v>1</v>
      </c>
    </row>
    <row r="24" spans="1:60">
      <c r="BH24" s="2"/>
    </row>
    <row r="25" spans="1:60">
      <c r="A25">
        <f>A13</f>
        <v>4</v>
      </c>
      <c r="B25">
        <f>B13</f>
        <v>4</v>
      </c>
      <c r="C25" t="str">
        <f>P13</f>
        <v>A</v>
      </c>
      <c r="D25">
        <f>IF($C25="A",A25,"")</f>
        <v>4</v>
      </c>
      <c r="E25">
        <f>IF($C25="A",B25,"")</f>
        <v>4</v>
      </c>
      <c r="F25" t="str">
        <f>IF($C25="B",A25,"")</f>
        <v/>
      </c>
      <c r="G25" t="str">
        <f>IF($C25="B",B25,"")</f>
        <v/>
      </c>
      <c r="H25" t="str">
        <f>IF($C25="C",A25,"")</f>
        <v/>
      </c>
      <c r="I25" t="str">
        <f>IF($C25="C",B25,"")</f>
        <v/>
      </c>
      <c r="J25">
        <f>D34</f>
        <v>3</v>
      </c>
      <c r="K25">
        <f>E34</f>
        <v>4</v>
      </c>
      <c r="L25">
        <f>SQRT((A25-D$34)^2+(B25-E$34)^2)</f>
        <v>1</v>
      </c>
      <c r="M25">
        <f>SQRT((A25-F$34)^2+(B25-G$34)^2)</f>
        <v>3.2998316455372212</v>
      </c>
      <c r="N25">
        <f>SQRT((A25-H$34)^2+(B25-I$34)^2)</f>
        <v>2.5495097567963922</v>
      </c>
      <c r="O25">
        <f>MIN(L25:N25)</f>
        <v>1</v>
      </c>
      <c r="P25" t="str">
        <f>IF(O25=L25,"A",IF(O25=M25,"B","C"))</f>
        <v>A</v>
      </c>
      <c r="Q25">
        <f>IF(C25=P25,0,1)</f>
        <v>0</v>
      </c>
      <c r="S25">
        <f>IF(D25&lt;&gt;"",D25,-1)</f>
        <v>4</v>
      </c>
      <c r="T25">
        <f t="shared" ref="T25:X33" si="28">IF(E25&lt;&gt;"",E25,-1)</f>
        <v>4</v>
      </c>
      <c r="U25">
        <f t="shared" si="28"/>
        <v>-1</v>
      </c>
      <c r="V25">
        <f t="shared" si="28"/>
        <v>-1</v>
      </c>
      <c r="W25">
        <f t="shared" si="28"/>
        <v>-1</v>
      </c>
      <c r="X25">
        <f t="shared" si="28"/>
        <v>-1</v>
      </c>
      <c r="Y25">
        <f>D34</f>
        <v>3</v>
      </c>
      <c r="Z25">
        <f t="shared" ref="Z25:AD25" si="29">E34</f>
        <v>4</v>
      </c>
      <c r="AA25">
        <f t="shared" si="29"/>
        <v>1.6666666666666667</v>
      </c>
      <c r="AB25">
        <f t="shared" si="29"/>
        <v>1.6666666666666667</v>
      </c>
      <c r="AC25">
        <f t="shared" si="29"/>
        <v>4.5</v>
      </c>
      <c r="AD25">
        <f t="shared" si="29"/>
        <v>1.5</v>
      </c>
      <c r="BH25" s="2"/>
    </row>
    <row r="26" spans="1:60">
      <c r="A26">
        <f t="shared" ref="A26:B33" si="30">A14</f>
        <v>2</v>
      </c>
      <c r="B26">
        <f t="shared" si="30"/>
        <v>2</v>
      </c>
      <c r="C26" t="str">
        <f t="shared" ref="C26:C33" si="31">P14</f>
        <v>B</v>
      </c>
      <c r="D26" t="str">
        <f t="shared" ref="D26:E33" si="32">IF($C26="A",A26,"")</f>
        <v/>
      </c>
      <c r="E26" t="str">
        <f t="shared" si="32"/>
        <v/>
      </c>
      <c r="F26">
        <f t="shared" ref="F26:G33" si="33">IF($C26="B",A26,"")</f>
        <v>2</v>
      </c>
      <c r="G26">
        <f t="shared" si="33"/>
        <v>2</v>
      </c>
      <c r="H26" t="str">
        <f t="shared" ref="H26:I33" si="34">IF($C26="C",A26,"")</f>
        <v/>
      </c>
      <c r="I26" t="str">
        <f t="shared" si="34"/>
        <v/>
      </c>
      <c r="J26">
        <f>F34</f>
        <v>1.6666666666666667</v>
      </c>
      <c r="K26">
        <f>G34</f>
        <v>1.6666666666666667</v>
      </c>
      <c r="L26">
        <f t="shared" ref="L26:L33" si="35">SQRT((A26-D$34)^2+(B26-E$34)^2)</f>
        <v>2.2360679774997898</v>
      </c>
      <c r="M26">
        <f t="shared" ref="M26:M33" si="36">SQRT((A26-F$34)^2+(B26-G$34)^2)</f>
        <v>0.47140452079103157</v>
      </c>
      <c r="N26">
        <f t="shared" ref="N26:N33" si="37">SQRT((A26-H$34)^2+(B26-I$34)^2)</f>
        <v>2.5495097567963922</v>
      </c>
      <c r="O26">
        <f t="shared" ref="O26:O33" si="38">MIN(L26:N26)</f>
        <v>0.47140452079103157</v>
      </c>
      <c r="P26" t="str">
        <f t="shared" ref="P26:P33" si="39">IF(O26=L26,"A",IF(O26=M26,"B","C"))</f>
        <v>B</v>
      </c>
      <c r="Q26">
        <f t="shared" ref="Q26:Q33" si="40">IF(C26=P26,0,1)</f>
        <v>0</v>
      </c>
      <c r="S26">
        <f t="shared" ref="S26:S33" si="41">IF(D26&lt;&gt;"",D26,-1)</f>
        <v>-1</v>
      </c>
      <c r="T26">
        <f t="shared" si="28"/>
        <v>-1</v>
      </c>
      <c r="U26">
        <f t="shared" si="28"/>
        <v>2</v>
      </c>
      <c r="V26">
        <f t="shared" si="28"/>
        <v>2</v>
      </c>
      <c r="W26">
        <f t="shared" si="28"/>
        <v>-1</v>
      </c>
      <c r="X26">
        <f t="shared" si="28"/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BH26" s="2"/>
    </row>
    <row r="27" spans="1:60">
      <c r="A27">
        <f t="shared" si="30"/>
        <v>5</v>
      </c>
      <c r="B27">
        <f t="shared" si="30"/>
        <v>1</v>
      </c>
      <c r="C27" t="str">
        <f t="shared" si="31"/>
        <v>C</v>
      </c>
      <c r="D27" t="str">
        <f t="shared" si="32"/>
        <v/>
      </c>
      <c r="E27" t="str">
        <f t="shared" si="32"/>
        <v/>
      </c>
      <c r="F27" t="str">
        <f t="shared" si="33"/>
        <v/>
      </c>
      <c r="G27" t="str">
        <f t="shared" si="33"/>
        <v/>
      </c>
      <c r="H27">
        <f t="shared" si="34"/>
        <v>5</v>
      </c>
      <c r="I27">
        <f t="shared" si="34"/>
        <v>1</v>
      </c>
      <c r="J27">
        <f>H34</f>
        <v>4.5</v>
      </c>
      <c r="K27">
        <f>I34</f>
        <v>1.5</v>
      </c>
      <c r="L27">
        <f t="shared" si="35"/>
        <v>3.6055512754639891</v>
      </c>
      <c r="M27">
        <f t="shared" si="36"/>
        <v>3.3993463423951895</v>
      </c>
      <c r="N27">
        <f t="shared" si="37"/>
        <v>0.70710678118654757</v>
      </c>
      <c r="O27">
        <f t="shared" si="38"/>
        <v>0.70710678118654757</v>
      </c>
      <c r="P27" t="str">
        <f t="shared" si="39"/>
        <v>C</v>
      </c>
      <c r="Q27">
        <f t="shared" si="40"/>
        <v>0</v>
      </c>
      <c r="S27">
        <f t="shared" si="41"/>
        <v>-1</v>
      </c>
      <c r="T27">
        <f t="shared" si="28"/>
        <v>-1</v>
      </c>
      <c r="U27">
        <f t="shared" si="28"/>
        <v>-1</v>
      </c>
      <c r="V27">
        <f t="shared" si="28"/>
        <v>-1</v>
      </c>
      <c r="W27">
        <f t="shared" si="28"/>
        <v>5</v>
      </c>
      <c r="X27">
        <f t="shared" si="28"/>
        <v>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BH27" s="2"/>
    </row>
    <row r="28" spans="1:60">
      <c r="A28">
        <f t="shared" si="30"/>
        <v>1</v>
      </c>
      <c r="B28">
        <f t="shared" si="30"/>
        <v>5</v>
      </c>
      <c r="C28" t="str">
        <f t="shared" si="31"/>
        <v>A</v>
      </c>
      <c r="D28">
        <f t="shared" si="32"/>
        <v>1</v>
      </c>
      <c r="E28">
        <f t="shared" si="32"/>
        <v>5</v>
      </c>
      <c r="F28" t="str">
        <f t="shared" si="33"/>
        <v/>
      </c>
      <c r="G28" t="str">
        <f t="shared" si="33"/>
        <v/>
      </c>
      <c r="H28" t="str">
        <f t="shared" si="34"/>
        <v/>
      </c>
      <c r="I28" t="str">
        <f t="shared" si="34"/>
        <v/>
      </c>
      <c r="L28">
        <f t="shared" si="35"/>
        <v>2.2360679774997898</v>
      </c>
      <c r="M28">
        <f t="shared" si="36"/>
        <v>3.3993463423951895</v>
      </c>
      <c r="N28">
        <f t="shared" si="37"/>
        <v>4.9497474683058327</v>
      </c>
      <c r="O28">
        <f t="shared" si="38"/>
        <v>2.2360679774997898</v>
      </c>
      <c r="P28" t="str">
        <f t="shared" si="39"/>
        <v>A</v>
      </c>
      <c r="Q28">
        <f t="shared" si="40"/>
        <v>0</v>
      </c>
      <c r="S28">
        <f t="shared" si="41"/>
        <v>1</v>
      </c>
      <c r="T28">
        <f t="shared" si="28"/>
        <v>5</v>
      </c>
      <c r="U28">
        <f t="shared" si="28"/>
        <v>-1</v>
      </c>
      <c r="V28">
        <f t="shared" si="28"/>
        <v>-1</v>
      </c>
      <c r="W28">
        <f t="shared" si="28"/>
        <v>-1</v>
      </c>
      <c r="X28">
        <f t="shared" si="28"/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</row>
    <row r="29" spans="1:60">
      <c r="A29">
        <f t="shared" si="30"/>
        <v>2</v>
      </c>
      <c r="B29">
        <f t="shared" si="30"/>
        <v>1</v>
      </c>
      <c r="C29" t="str">
        <f t="shared" si="31"/>
        <v>B</v>
      </c>
      <c r="D29" t="str">
        <f t="shared" si="32"/>
        <v/>
      </c>
      <c r="E29" t="str">
        <f t="shared" si="32"/>
        <v/>
      </c>
      <c r="F29">
        <f t="shared" si="33"/>
        <v>2</v>
      </c>
      <c r="G29">
        <f t="shared" si="33"/>
        <v>1</v>
      </c>
      <c r="H29" t="str">
        <f t="shared" si="34"/>
        <v/>
      </c>
      <c r="I29" t="str">
        <f t="shared" si="34"/>
        <v/>
      </c>
      <c r="L29">
        <f t="shared" si="35"/>
        <v>3.1622776601683795</v>
      </c>
      <c r="M29">
        <f t="shared" si="36"/>
        <v>0.7453559924999299</v>
      </c>
      <c r="N29">
        <f t="shared" si="37"/>
        <v>2.5495097567963922</v>
      </c>
      <c r="O29">
        <f t="shared" si="38"/>
        <v>0.7453559924999299</v>
      </c>
      <c r="P29" t="str">
        <f t="shared" si="39"/>
        <v>B</v>
      </c>
      <c r="Q29">
        <f t="shared" si="40"/>
        <v>0</v>
      </c>
      <c r="S29">
        <f t="shared" si="41"/>
        <v>-1</v>
      </c>
      <c r="T29">
        <f t="shared" si="28"/>
        <v>-1</v>
      </c>
      <c r="U29">
        <f t="shared" si="28"/>
        <v>2</v>
      </c>
      <c r="V29">
        <f t="shared" si="28"/>
        <v>1</v>
      </c>
      <c r="W29">
        <f t="shared" si="28"/>
        <v>-1</v>
      </c>
      <c r="X29">
        <f t="shared" si="28"/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</row>
    <row r="30" spans="1:60">
      <c r="A30">
        <f t="shared" si="30"/>
        <v>4</v>
      </c>
      <c r="B30">
        <f t="shared" si="30"/>
        <v>2</v>
      </c>
      <c r="C30" t="str">
        <f t="shared" si="31"/>
        <v>C</v>
      </c>
      <c r="D30" t="str">
        <f t="shared" si="32"/>
        <v/>
      </c>
      <c r="E30" t="str">
        <f t="shared" si="32"/>
        <v/>
      </c>
      <c r="F30" t="str">
        <f t="shared" si="33"/>
        <v/>
      </c>
      <c r="G30" t="str">
        <f t="shared" si="33"/>
        <v/>
      </c>
      <c r="H30">
        <f t="shared" si="34"/>
        <v>4</v>
      </c>
      <c r="I30">
        <f t="shared" si="34"/>
        <v>2</v>
      </c>
      <c r="L30">
        <f t="shared" si="35"/>
        <v>2.2360679774997898</v>
      </c>
      <c r="M30">
        <f t="shared" si="36"/>
        <v>2.3570226039551581</v>
      </c>
      <c r="N30">
        <f t="shared" si="37"/>
        <v>0.70710678118654757</v>
      </c>
      <c r="O30">
        <f t="shared" si="38"/>
        <v>0.70710678118654757</v>
      </c>
      <c r="P30" t="str">
        <f t="shared" si="39"/>
        <v>C</v>
      </c>
      <c r="Q30">
        <f t="shared" si="40"/>
        <v>0</v>
      </c>
      <c r="S30">
        <f t="shared" si="41"/>
        <v>-1</v>
      </c>
      <c r="T30">
        <f t="shared" si="28"/>
        <v>-1</v>
      </c>
      <c r="U30">
        <f t="shared" si="28"/>
        <v>-1</v>
      </c>
      <c r="V30">
        <f t="shared" si="28"/>
        <v>-1</v>
      </c>
      <c r="W30">
        <f t="shared" si="28"/>
        <v>4</v>
      </c>
      <c r="X30">
        <f t="shared" si="28"/>
        <v>2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</row>
    <row r="31" spans="1:60">
      <c r="A31">
        <f t="shared" si="30"/>
        <v>3</v>
      </c>
      <c r="B31">
        <f t="shared" si="30"/>
        <v>3</v>
      </c>
      <c r="C31" t="str">
        <f t="shared" si="31"/>
        <v>A</v>
      </c>
      <c r="D31">
        <f t="shared" si="32"/>
        <v>3</v>
      </c>
      <c r="E31">
        <f t="shared" si="32"/>
        <v>3</v>
      </c>
      <c r="F31" t="str">
        <f t="shared" si="33"/>
        <v/>
      </c>
      <c r="G31" t="str">
        <f t="shared" si="33"/>
        <v/>
      </c>
      <c r="H31" t="str">
        <f t="shared" si="34"/>
        <v/>
      </c>
      <c r="I31" t="str">
        <f t="shared" si="34"/>
        <v/>
      </c>
      <c r="L31">
        <f t="shared" si="35"/>
        <v>1</v>
      </c>
      <c r="M31">
        <f t="shared" si="36"/>
        <v>1.8856180831641267</v>
      </c>
      <c r="N31">
        <f t="shared" si="37"/>
        <v>2.1213203435596424</v>
      </c>
      <c r="O31">
        <f t="shared" si="38"/>
        <v>1</v>
      </c>
      <c r="P31" t="str">
        <f t="shared" si="39"/>
        <v>A</v>
      </c>
      <c r="Q31">
        <f t="shared" si="40"/>
        <v>0</v>
      </c>
      <c r="S31">
        <f t="shared" si="41"/>
        <v>3</v>
      </c>
      <c r="T31">
        <f t="shared" si="28"/>
        <v>3</v>
      </c>
      <c r="U31">
        <f t="shared" si="28"/>
        <v>-1</v>
      </c>
      <c r="V31">
        <f t="shared" si="28"/>
        <v>-1</v>
      </c>
      <c r="W31">
        <f t="shared" si="28"/>
        <v>-1</v>
      </c>
      <c r="X31">
        <f t="shared" si="28"/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</row>
    <row r="32" spans="1:60">
      <c r="A32">
        <f t="shared" si="30"/>
        <v>4</v>
      </c>
      <c r="B32">
        <f t="shared" si="30"/>
        <v>4</v>
      </c>
      <c r="C32" t="str">
        <f t="shared" si="31"/>
        <v>A</v>
      </c>
      <c r="D32">
        <f t="shared" si="32"/>
        <v>4</v>
      </c>
      <c r="E32">
        <f t="shared" si="32"/>
        <v>4</v>
      </c>
      <c r="F32" t="str">
        <f t="shared" si="33"/>
        <v/>
      </c>
      <c r="G32" t="str">
        <f t="shared" si="33"/>
        <v/>
      </c>
      <c r="H32" t="str">
        <f t="shared" si="34"/>
        <v/>
      </c>
      <c r="I32" t="str">
        <f t="shared" si="34"/>
        <v/>
      </c>
      <c r="L32">
        <f t="shared" si="35"/>
        <v>1</v>
      </c>
      <c r="M32">
        <f t="shared" si="36"/>
        <v>3.2998316455372212</v>
      </c>
      <c r="N32">
        <f t="shared" si="37"/>
        <v>2.5495097567963922</v>
      </c>
      <c r="O32">
        <f t="shared" si="38"/>
        <v>1</v>
      </c>
      <c r="P32" t="str">
        <f t="shared" si="39"/>
        <v>A</v>
      </c>
      <c r="Q32">
        <f t="shared" si="40"/>
        <v>0</v>
      </c>
      <c r="S32">
        <f t="shared" si="41"/>
        <v>4</v>
      </c>
      <c r="T32">
        <f t="shared" si="28"/>
        <v>4</v>
      </c>
      <c r="U32">
        <f t="shared" si="28"/>
        <v>-1</v>
      </c>
      <c r="V32">
        <f t="shared" si="28"/>
        <v>-1</v>
      </c>
      <c r="W32">
        <f t="shared" si="28"/>
        <v>-1</v>
      </c>
      <c r="X32">
        <f t="shared" si="28"/>
        <v>-1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</row>
    <row r="33" spans="1:30">
      <c r="A33">
        <f t="shared" si="30"/>
        <v>1</v>
      </c>
      <c r="B33">
        <f t="shared" si="30"/>
        <v>2</v>
      </c>
      <c r="C33" t="str">
        <f t="shared" si="31"/>
        <v>B</v>
      </c>
      <c r="D33" t="str">
        <f t="shared" si="32"/>
        <v/>
      </c>
      <c r="E33" t="str">
        <f t="shared" si="32"/>
        <v/>
      </c>
      <c r="F33">
        <f t="shared" si="33"/>
        <v>1</v>
      </c>
      <c r="G33">
        <f t="shared" si="33"/>
        <v>2</v>
      </c>
      <c r="H33" t="str">
        <f t="shared" si="34"/>
        <v/>
      </c>
      <c r="I33" t="str">
        <f t="shared" si="34"/>
        <v/>
      </c>
      <c r="L33">
        <f t="shared" si="35"/>
        <v>2.8284271247461903</v>
      </c>
      <c r="M33">
        <f t="shared" si="36"/>
        <v>0.7453559924999299</v>
      </c>
      <c r="N33">
        <f t="shared" si="37"/>
        <v>3.5355339059327378</v>
      </c>
      <c r="O33">
        <f t="shared" si="38"/>
        <v>0.7453559924999299</v>
      </c>
      <c r="P33" t="str">
        <f t="shared" si="39"/>
        <v>B</v>
      </c>
      <c r="Q33">
        <f t="shared" si="40"/>
        <v>0</v>
      </c>
      <c r="S33">
        <f t="shared" si="41"/>
        <v>-1</v>
      </c>
      <c r="T33">
        <f t="shared" si="28"/>
        <v>-1</v>
      </c>
      <c r="U33">
        <f t="shared" si="28"/>
        <v>1</v>
      </c>
      <c r="V33">
        <f t="shared" si="28"/>
        <v>2</v>
      </c>
      <c r="W33">
        <f t="shared" si="28"/>
        <v>-1</v>
      </c>
      <c r="X33">
        <f t="shared" si="28"/>
        <v>-1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</row>
    <row r="34" spans="1:30">
      <c r="D34">
        <f t="shared" ref="D34:I34" si="42">AVERAGE(D25:D33)</f>
        <v>3</v>
      </c>
      <c r="E34">
        <f t="shared" si="42"/>
        <v>4</v>
      </c>
      <c r="F34">
        <f t="shared" si="42"/>
        <v>1.6666666666666667</v>
      </c>
      <c r="G34">
        <f t="shared" si="42"/>
        <v>1.6666666666666667</v>
      </c>
      <c r="H34">
        <f t="shared" si="42"/>
        <v>4.5</v>
      </c>
      <c r="I34">
        <f t="shared" si="42"/>
        <v>1.5</v>
      </c>
      <c r="Q34">
        <f>SUM(Q25:Q33)</f>
        <v>0</v>
      </c>
    </row>
    <row r="36" spans="1:30">
      <c r="A36">
        <f ca="1">RANDBETWEEN(1,5)</f>
        <v>1</v>
      </c>
      <c r="B36">
        <f ca="1">RANDBETWEEN(1,5)</f>
        <v>2</v>
      </c>
      <c r="P36">
        <v>4</v>
      </c>
      <c r="Q36">
        <v>4</v>
      </c>
      <c r="R36" t="s">
        <v>0</v>
      </c>
      <c r="S36" t="s">
        <v>0</v>
      </c>
      <c r="U36">
        <v>4</v>
      </c>
      <c r="V36">
        <v>4</v>
      </c>
      <c r="W36" t="s">
        <v>0</v>
      </c>
    </row>
    <row r="37" spans="1:30">
      <c r="A37">
        <f t="shared" ref="A37:B44" ca="1" si="43">RANDBETWEEN(1,5)</f>
        <v>1</v>
      </c>
      <c r="B37">
        <f t="shared" ca="1" si="43"/>
        <v>4</v>
      </c>
      <c r="P37">
        <v>1</v>
      </c>
      <c r="Q37">
        <v>5</v>
      </c>
      <c r="R37" t="s">
        <v>1</v>
      </c>
      <c r="S37" t="s">
        <v>0</v>
      </c>
      <c r="U37">
        <v>2</v>
      </c>
      <c r="V37">
        <v>2</v>
      </c>
      <c r="W37" t="s">
        <v>3</v>
      </c>
    </row>
    <row r="38" spans="1:30">
      <c r="A38">
        <f t="shared" ca="1" si="43"/>
        <v>1</v>
      </c>
      <c r="B38">
        <f t="shared" ca="1" si="43"/>
        <v>5</v>
      </c>
      <c r="P38">
        <v>3</v>
      </c>
      <c r="Q38">
        <v>3</v>
      </c>
      <c r="R38" t="s">
        <v>1</v>
      </c>
      <c r="S38" t="s">
        <v>0</v>
      </c>
      <c r="U38">
        <v>5</v>
      </c>
      <c r="V38">
        <v>1</v>
      </c>
      <c r="W38" t="s">
        <v>5</v>
      </c>
    </row>
    <row r="39" spans="1:30">
      <c r="A39">
        <f t="shared" ca="1" si="43"/>
        <v>2</v>
      </c>
      <c r="B39">
        <f t="shared" ca="1" si="43"/>
        <v>4</v>
      </c>
      <c r="P39">
        <v>4</v>
      </c>
      <c r="Q39">
        <v>4</v>
      </c>
      <c r="R39" t="s">
        <v>3</v>
      </c>
      <c r="S39" t="s">
        <v>0</v>
      </c>
      <c r="U39">
        <v>1</v>
      </c>
      <c r="V39">
        <v>5</v>
      </c>
      <c r="W39" t="s">
        <v>1</v>
      </c>
    </row>
    <row r="40" spans="1:30">
      <c r="A40">
        <f t="shared" ca="1" si="43"/>
        <v>2</v>
      </c>
      <c r="B40">
        <f t="shared" ca="1" si="43"/>
        <v>4</v>
      </c>
      <c r="P40">
        <v>2</v>
      </c>
      <c r="Q40">
        <v>1</v>
      </c>
      <c r="R40" t="s">
        <v>3</v>
      </c>
      <c r="S40" t="s">
        <v>2</v>
      </c>
      <c r="U40">
        <v>2</v>
      </c>
      <c r="V40">
        <v>1</v>
      </c>
      <c r="W40" t="s">
        <v>3</v>
      </c>
    </row>
    <row r="41" spans="1:30">
      <c r="A41">
        <f t="shared" ca="1" si="43"/>
        <v>5</v>
      </c>
      <c r="B41">
        <f t="shared" ca="1" si="43"/>
        <v>2</v>
      </c>
      <c r="P41">
        <v>2</v>
      </c>
      <c r="Q41">
        <v>2</v>
      </c>
      <c r="R41" t="s">
        <v>3</v>
      </c>
      <c r="S41" t="s">
        <v>2</v>
      </c>
      <c r="U41">
        <v>4</v>
      </c>
      <c r="V41">
        <v>2</v>
      </c>
      <c r="W41" t="s">
        <v>5</v>
      </c>
    </row>
    <row r="42" spans="1:30">
      <c r="A42">
        <f t="shared" ca="1" si="43"/>
        <v>4</v>
      </c>
      <c r="B42">
        <f t="shared" ca="1" si="43"/>
        <v>2</v>
      </c>
      <c r="P42">
        <v>1</v>
      </c>
      <c r="Q42">
        <v>2</v>
      </c>
      <c r="R42" t="s">
        <v>4</v>
      </c>
      <c r="S42" t="s">
        <v>2</v>
      </c>
      <c r="U42">
        <v>3</v>
      </c>
      <c r="V42">
        <v>3</v>
      </c>
      <c r="W42" t="s">
        <v>1</v>
      </c>
    </row>
    <row r="43" spans="1:30">
      <c r="A43">
        <f t="shared" ca="1" si="43"/>
        <v>5</v>
      </c>
      <c r="B43">
        <f t="shared" ca="1" si="43"/>
        <v>2</v>
      </c>
      <c r="P43">
        <v>4</v>
      </c>
      <c r="Q43">
        <v>2</v>
      </c>
      <c r="R43" t="s">
        <v>5</v>
      </c>
      <c r="S43" t="s">
        <v>4</v>
      </c>
      <c r="U43">
        <v>4</v>
      </c>
      <c r="V43">
        <v>4</v>
      </c>
      <c r="W43" t="s">
        <v>3</v>
      </c>
    </row>
    <row r="44" spans="1:30">
      <c r="A44">
        <f t="shared" ca="1" si="43"/>
        <v>3</v>
      </c>
      <c r="B44">
        <f t="shared" ca="1" si="43"/>
        <v>3</v>
      </c>
      <c r="P44">
        <v>5</v>
      </c>
      <c r="Q44">
        <v>1</v>
      </c>
      <c r="R44" t="s">
        <v>5</v>
      </c>
      <c r="S44" t="s">
        <v>4</v>
      </c>
      <c r="U44">
        <v>1</v>
      </c>
      <c r="V44">
        <v>2</v>
      </c>
      <c r="W44" t="s">
        <v>4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0770F-8942-403F-A3C8-1686E932344A}">
  <dimension ref="A1:BP44"/>
  <sheetViews>
    <sheetView zoomScale="85" zoomScaleNormal="85" workbookViewId="0">
      <selection activeCell="S55" sqref="S55"/>
    </sheetView>
  </sheetViews>
  <sheetFormatPr defaultRowHeight="18"/>
  <cols>
    <col min="4" max="15" width="8.6640625" customWidth="1"/>
    <col min="34" max="69" width="3" customWidth="1"/>
    <col min="70" max="97" width="3.08203125" customWidth="1"/>
  </cols>
  <sheetData>
    <row r="1" spans="1:68">
      <c r="A1">
        <v>3</v>
      </c>
      <c r="B1">
        <v>4</v>
      </c>
      <c r="C1" t="s">
        <v>0</v>
      </c>
      <c r="D1">
        <f>IF($C1="A",A1,"")</f>
        <v>3</v>
      </c>
      <c r="E1">
        <f>IF($C1="A",B1,"")</f>
        <v>4</v>
      </c>
      <c r="F1" t="str">
        <f>IF($C1="B",A1,"")</f>
        <v/>
      </c>
      <c r="G1" t="str">
        <f>IF($C1="B",B1,"")</f>
        <v/>
      </c>
      <c r="H1" t="str">
        <f>IF($C1="C",A1,"")</f>
        <v/>
      </c>
      <c r="I1" t="str">
        <f>IF($C1="C",B1,"")</f>
        <v/>
      </c>
      <c r="J1">
        <f>D10</f>
        <v>2.3333333333333335</v>
      </c>
      <c r="K1">
        <f>E10</f>
        <v>4</v>
      </c>
      <c r="L1">
        <f>SQRT((A1-D$10)^2+(B1-E$10)^2)</f>
        <v>0.66666666666666652</v>
      </c>
      <c r="M1">
        <f>SQRT((A1-F$10)^2+(B1-G$10)^2)</f>
        <v>1.6996731711975948</v>
      </c>
      <c r="N1">
        <f>SQRT((A1-H$10)^2+(B1-I$10)^2)</f>
        <v>2.3570226039551581</v>
      </c>
      <c r="O1">
        <f>MIN(L1:N1)</f>
        <v>0.66666666666666652</v>
      </c>
      <c r="P1" t="str">
        <f>IF(O1=L1,"A",IF(O1=M1,"B","C"))</f>
        <v>A</v>
      </c>
      <c r="Q1">
        <f>IF(C1=P1,0,1)</f>
        <v>0</v>
      </c>
      <c r="S1">
        <f>IF(D1&lt;&gt;"",D1,-1)</f>
        <v>3</v>
      </c>
      <c r="T1">
        <f t="shared" ref="T1:X9" si="0">IF(E1&lt;&gt;"",E1,-1)</f>
        <v>4</v>
      </c>
      <c r="U1">
        <f t="shared" si="0"/>
        <v>-1</v>
      </c>
      <c r="V1">
        <f t="shared" si="0"/>
        <v>-1</v>
      </c>
      <c r="W1">
        <f t="shared" si="0"/>
        <v>-1</v>
      </c>
      <c r="X1">
        <f t="shared" si="0"/>
        <v>-1</v>
      </c>
      <c r="Y1">
        <f>D10</f>
        <v>2.3333333333333335</v>
      </c>
      <c r="Z1">
        <f t="shared" ref="Z1:AD1" si="1">E10</f>
        <v>4</v>
      </c>
      <c r="AA1">
        <f t="shared" si="1"/>
        <v>2.6666666666666665</v>
      </c>
      <c r="AB1">
        <f t="shared" si="1"/>
        <v>2.3333333333333335</v>
      </c>
      <c r="AC1">
        <f t="shared" si="1"/>
        <v>3.3333333333333335</v>
      </c>
      <c r="AD1">
        <f t="shared" si="1"/>
        <v>1.6666666666666667</v>
      </c>
    </row>
    <row r="2" spans="1:68">
      <c r="A2">
        <v>1</v>
      </c>
      <c r="B2">
        <v>5</v>
      </c>
      <c r="C2" t="s">
        <v>1</v>
      </c>
      <c r="D2">
        <f t="shared" ref="D2:E9" si="2">IF($C2="A",A2,"")</f>
        <v>1</v>
      </c>
      <c r="E2">
        <f t="shared" si="2"/>
        <v>5</v>
      </c>
      <c r="F2" t="str">
        <f t="shared" ref="F2:G9" si="3">IF($C2="B",A2,"")</f>
        <v/>
      </c>
      <c r="G2" t="str">
        <f t="shared" si="3"/>
        <v/>
      </c>
      <c r="H2" t="str">
        <f t="shared" ref="H2:I9" si="4">IF($C2="C",A2,"")</f>
        <v/>
      </c>
      <c r="I2" t="str">
        <f t="shared" si="4"/>
        <v/>
      </c>
      <c r="J2">
        <f>F10</f>
        <v>2.6666666666666665</v>
      </c>
      <c r="K2">
        <f>G10</f>
        <v>2.3333333333333335</v>
      </c>
      <c r="L2">
        <f t="shared" ref="L2:L9" si="5">SQRT((A2-D$10)^2+(B2-E$10)^2)</f>
        <v>1.6666666666666667</v>
      </c>
      <c r="M2">
        <f t="shared" ref="M2:M9" si="6">SQRT((A2-F$10)^2+(B2-G$10)^2)</f>
        <v>3.1446603773522011</v>
      </c>
      <c r="N2">
        <f t="shared" ref="N2:N9" si="7">SQRT((A2-H$10)^2+(B2-I$10)^2)</f>
        <v>4.0688518719112343</v>
      </c>
      <c r="O2">
        <f t="shared" ref="O2:O9" si="8">MIN(L2:N2)</f>
        <v>1.6666666666666667</v>
      </c>
      <c r="P2" t="str">
        <f t="shared" ref="P2:P9" si="9">IF(O2=L2,"A",IF(O2=M2,"B","C"))</f>
        <v>A</v>
      </c>
      <c r="Q2">
        <f t="shared" ref="Q2:Q9" si="10">IF(C2=P2,0,1)</f>
        <v>0</v>
      </c>
      <c r="S2">
        <f t="shared" ref="S2:S9" si="11">IF(D2&lt;&gt;"",D2,-1)</f>
        <v>1</v>
      </c>
      <c r="T2">
        <f t="shared" si="0"/>
        <v>5</v>
      </c>
      <c r="U2">
        <f t="shared" si="0"/>
        <v>-1</v>
      </c>
      <c r="V2">
        <f t="shared" si="0"/>
        <v>-1</v>
      </c>
      <c r="W2">
        <f t="shared" si="0"/>
        <v>-1</v>
      </c>
      <c r="X2">
        <f t="shared" si="0"/>
        <v>-1</v>
      </c>
      <c r="Y2">
        <v>-1</v>
      </c>
      <c r="Z2">
        <v>-1</v>
      </c>
      <c r="AA2">
        <v>-1</v>
      </c>
      <c r="AB2">
        <v>-1</v>
      </c>
      <c r="AC2">
        <v>-1</v>
      </c>
      <c r="AD2">
        <v>-1</v>
      </c>
      <c r="BH2" s="1"/>
    </row>
    <row r="3" spans="1:68">
      <c r="A3">
        <v>3</v>
      </c>
      <c r="B3">
        <v>3</v>
      </c>
      <c r="C3" t="s">
        <v>1</v>
      </c>
      <c r="D3">
        <f t="shared" si="2"/>
        <v>3</v>
      </c>
      <c r="E3">
        <f t="shared" si="2"/>
        <v>3</v>
      </c>
      <c r="F3" t="str">
        <f t="shared" si="3"/>
        <v/>
      </c>
      <c r="G3" t="str">
        <f t="shared" si="3"/>
        <v/>
      </c>
      <c r="H3" t="str">
        <f t="shared" si="4"/>
        <v/>
      </c>
      <c r="I3" t="str">
        <f t="shared" si="4"/>
        <v/>
      </c>
      <c r="J3">
        <f>H10</f>
        <v>3.3333333333333335</v>
      </c>
      <c r="K3">
        <f>I10</f>
        <v>1.6666666666666667</v>
      </c>
      <c r="L3">
        <f t="shared" si="5"/>
        <v>1.2018504251546629</v>
      </c>
      <c r="M3">
        <f t="shared" si="6"/>
        <v>0.74535599249992979</v>
      </c>
      <c r="N3">
        <f t="shared" si="7"/>
        <v>1.3743685418725535</v>
      </c>
      <c r="O3">
        <f t="shared" si="8"/>
        <v>0.74535599249992979</v>
      </c>
      <c r="P3" t="str">
        <f t="shared" si="9"/>
        <v>B</v>
      </c>
      <c r="Q3">
        <f t="shared" si="10"/>
        <v>1</v>
      </c>
      <c r="S3">
        <f t="shared" si="11"/>
        <v>3</v>
      </c>
      <c r="T3">
        <f t="shared" si="0"/>
        <v>3</v>
      </c>
      <c r="U3">
        <f t="shared" si="0"/>
        <v>-1</v>
      </c>
      <c r="V3">
        <f t="shared" si="0"/>
        <v>-1</v>
      </c>
      <c r="W3">
        <f t="shared" si="0"/>
        <v>-1</v>
      </c>
      <c r="X3">
        <f t="shared" si="0"/>
        <v>-1</v>
      </c>
      <c r="Y3">
        <v>-1</v>
      </c>
      <c r="Z3">
        <v>-1</v>
      </c>
      <c r="AA3">
        <v>-1</v>
      </c>
      <c r="AB3">
        <v>-1</v>
      </c>
      <c r="AC3">
        <v>-1</v>
      </c>
      <c r="AD3">
        <v>-1</v>
      </c>
      <c r="BH3" s="1"/>
    </row>
    <row r="4" spans="1:68">
      <c r="A4">
        <v>4</v>
      </c>
      <c r="B4">
        <v>4</v>
      </c>
      <c r="C4" t="s">
        <v>3</v>
      </c>
      <c r="D4" t="str">
        <f t="shared" si="2"/>
        <v/>
      </c>
      <c r="E4" t="str">
        <f t="shared" si="2"/>
        <v/>
      </c>
      <c r="F4">
        <f t="shared" si="3"/>
        <v>4</v>
      </c>
      <c r="G4">
        <f t="shared" si="3"/>
        <v>4</v>
      </c>
      <c r="H4" t="str">
        <f t="shared" si="4"/>
        <v/>
      </c>
      <c r="I4" t="str">
        <f t="shared" si="4"/>
        <v/>
      </c>
      <c r="L4">
        <f t="shared" si="5"/>
        <v>1.6666666666666665</v>
      </c>
      <c r="M4">
        <f t="shared" si="6"/>
        <v>2.1343747458109497</v>
      </c>
      <c r="N4">
        <f t="shared" si="7"/>
        <v>2.4267032964268394</v>
      </c>
      <c r="O4">
        <f t="shared" si="8"/>
        <v>1.6666666666666665</v>
      </c>
      <c r="P4" t="str">
        <f t="shared" si="9"/>
        <v>A</v>
      </c>
      <c r="Q4">
        <f t="shared" si="10"/>
        <v>1</v>
      </c>
      <c r="S4">
        <f t="shared" si="11"/>
        <v>-1</v>
      </c>
      <c r="T4">
        <f t="shared" si="0"/>
        <v>-1</v>
      </c>
      <c r="U4">
        <f t="shared" si="0"/>
        <v>4</v>
      </c>
      <c r="V4">
        <f t="shared" si="0"/>
        <v>4</v>
      </c>
      <c r="W4">
        <f t="shared" si="0"/>
        <v>-1</v>
      </c>
      <c r="X4">
        <f t="shared" si="0"/>
        <v>-1</v>
      </c>
      <c r="Y4">
        <v>-1</v>
      </c>
      <c r="Z4">
        <v>-1</v>
      </c>
      <c r="AA4">
        <v>-1</v>
      </c>
      <c r="AB4">
        <v>-1</v>
      </c>
      <c r="AC4">
        <v>-1</v>
      </c>
      <c r="AD4">
        <v>-1</v>
      </c>
      <c r="BH4" s="1"/>
    </row>
    <row r="5" spans="1:68">
      <c r="A5">
        <v>2</v>
      </c>
      <c r="B5">
        <v>1</v>
      </c>
      <c r="C5" t="s">
        <v>3</v>
      </c>
      <c r="D5" t="str">
        <f t="shared" si="2"/>
        <v/>
      </c>
      <c r="E5" t="str">
        <f t="shared" si="2"/>
        <v/>
      </c>
      <c r="F5">
        <f t="shared" si="3"/>
        <v>2</v>
      </c>
      <c r="G5">
        <f t="shared" si="3"/>
        <v>1</v>
      </c>
      <c r="H5" t="str">
        <f t="shared" si="4"/>
        <v/>
      </c>
      <c r="I5" t="str">
        <f t="shared" si="4"/>
        <v/>
      </c>
      <c r="L5">
        <f t="shared" si="5"/>
        <v>3.018461712712472</v>
      </c>
      <c r="M5">
        <f t="shared" si="6"/>
        <v>1.4907119849998598</v>
      </c>
      <c r="N5">
        <f t="shared" si="7"/>
        <v>1.49071198499986</v>
      </c>
      <c r="O5">
        <f t="shared" si="8"/>
        <v>1.4907119849998598</v>
      </c>
      <c r="P5" t="str">
        <f t="shared" si="9"/>
        <v>B</v>
      </c>
      <c r="Q5">
        <f t="shared" si="10"/>
        <v>0</v>
      </c>
      <c r="S5">
        <f t="shared" si="11"/>
        <v>-1</v>
      </c>
      <c r="T5">
        <f t="shared" si="0"/>
        <v>-1</v>
      </c>
      <c r="U5">
        <f t="shared" si="0"/>
        <v>2</v>
      </c>
      <c r="V5">
        <f t="shared" si="0"/>
        <v>1</v>
      </c>
      <c r="W5">
        <f t="shared" si="0"/>
        <v>-1</v>
      </c>
      <c r="X5">
        <f t="shared" si="0"/>
        <v>-1</v>
      </c>
      <c r="Y5">
        <v>-1</v>
      </c>
      <c r="Z5">
        <v>-1</v>
      </c>
      <c r="AA5">
        <v>-1</v>
      </c>
      <c r="AB5">
        <v>-1</v>
      </c>
      <c r="AC5">
        <v>-1</v>
      </c>
      <c r="AD5">
        <v>-1</v>
      </c>
      <c r="BH5" s="1"/>
    </row>
    <row r="6" spans="1:68">
      <c r="A6">
        <v>2</v>
      </c>
      <c r="B6">
        <v>2</v>
      </c>
      <c r="C6" t="s">
        <v>3</v>
      </c>
      <c r="D6" t="str">
        <f t="shared" si="2"/>
        <v/>
      </c>
      <c r="E6" t="str">
        <f t="shared" si="2"/>
        <v/>
      </c>
      <c r="F6">
        <f t="shared" si="3"/>
        <v>2</v>
      </c>
      <c r="G6">
        <f t="shared" si="3"/>
        <v>2</v>
      </c>
      <c r="H6" t="str">
        <f t="shared" si="4"/>
        <v/>
      </c>
      <c r="I6" t="str">
        <f t="shared" si="4"/>
        <v/>
      </c>
      <c r="L6">
        <f t="shared" si="5"/>
        <v>2.0275875100994067</v>
      </c>
      <c r="M6">
        <f t="shared" si="6"/>
        <v>0.74535599249992979</v>
      </c>
      <c r="N6">
        <f t="shared" si="7"/>
        <v>1.3743685418725538</v>
      </c>
      <c r="O6">
        <f t="shared" si="8"/>
        <v>0.74535599249992979</v>
      </c>
      <c r="P6" t="str">
        <f t="shared" si="9"/>
        <v>B</v>
      </c>
      <c r="Q6">
        <f t="shared" si="10"/>
        <v>0</v>
      </c>
      <c r="S6">
        <f t="shared" si="11"/>
        <v>-1</v>
      </c>
      <c r="T6">
        <f t="shared" si="0"/>
        <v>-1</v>
      </c>
      <c r="U6">
        <f t="shared" si="0"/>
        <v>2</v>
      </c>
      <c r="V6">
        <f t="shared" si="0"/>
        <v>2</v>
      </c>
      <c r="W6">
        <f t="shared" si="0"/>
        <v>-1</v>
      </c>
      <c r="X6">
        <f t="shared" si="0"/>
        <v>-1</v>
      </c>
      <c r="Y6">
        <v>-1</v>
      </c>
      <c r="Z6">
        <v>-1</v>
      </c>
      <c r="AA6">
        <v>-1</v>
      </c>
      <c r="AB6">
        <v>-1</v>
      </c>
      <c r="AC6">
        <v>-1</v>
      </c>
      <c r="AD6">
        <v>-1</v>
      </c>
      <c r="BH6" s="1"/>
    </row>
    <row r="7" spans="1:68">
      <c r="A7">
        <v>1</v>
      </c>
      <c r="B7">
        <v>2</v>
      </c>
      <c r="C7" t="s">
        <v>4</v>
      </c>
      <c r="D7" t="str">
        <f t="shared" si="2"/>
        <v/>
      </c>
      <c r="E7" t="str">
        <f t="shared" si="2"/>
        <v/>
      </c>
      <c r="F7" t="str">
        <f t="shared" si="3"/>
        <v/>
      </c>
      <c r="G7" t="str">
        <f t="shared" si="3"/>
        <v/>
      </c>
      <c r="H7">
        <f t="shared" si="4"/>
        <v>1</v>
      </c>
      <c r="I7">
        <f t="shared" si="4"/>
        <v>2</v>
      </c>
      <c r="L7">
        <f t="shared" si="5"/>
        <v>2.4037008503093262</v>
      </c>
      <c r="M7">
        <f t="shared" si="6"/>
        <v>1.6996731711975948</v>
      </c>
      <c r="N7">
        <f t="shared" si="7"/>
        <v>2.3570226039551585</v>
      </c>
      <c r="O7">
        <f t="shared" si="8"/>
        <v>1.6996731711975948</v>
      </c>
      <c r="P7" t="str">
        <f t="shared" si="9"/>
        <v>B</v>
      </c>
      <c r="Q7">
        <f t="shared" si="10"/>
        <v>1</v>
      </c>
      <c r="S7">
        <f t="shared" si="11"/>
        <v>-1</v>
      </c>
      <c r="T7">
        <f t="shared" si="0"/>
        <v>-1</v>
      </c>
      <c r="U7">
        <f t="shared" si="0"/>
        <v>-1</v>
      </c>
      <c r="V7">
        <f t="shared" si="0"/>
        <v>-1</v>
      </c>
      <c r="W7">
        <f t="shared" si="0"/>
        <v>1</v>
      </c>
      <c r="X7">
        <f t="shared" si="0"/>
        <v>2</v>
      </c>
      <c r="Y7">
        <v>-1</v>
      </c>
      <c r="Z7">
        <v>-1</v>
      </c>
      <c r="AA7">
        <v>-1</v>
      </c>
      <c r="AB7">
        <v>-1</v>
      </c>
      <c r="AC7">
        <v>-1</v>
      </c>
      <c r="AD7">
        <v>-1</v>
      </c>
      <c r="BH7" s="1"/>
    </row>
    <row r="8" spans="1:68">
      <c r="A8">
        <v>4</v>
      </c>
      <c r="B8">
        <v>2</v>
      </c>
      <c r="C8" t="s">
        <v>5</v>
      </c>
      <c r="D8" t="str">
        <f t="shared" si="2"/>
        <v/>
      </c>
      <c r="E8" t="str">
        <f t="shared" si="2"/>
        <v/>
      </c>
      <c r="F8" t="str">
        <f t="shared" si="3"/>
        <v/>
      </c>
      <c r="G8" t="str">
        <f t="shared" si="3"/>
        <v/>
      </c>
      <c r="H8">
        <f t="shared" si="4"/>
        <v>4</v>
      </c>
      <c r="I8">
        <f t="shared" si="4"/>
        <v>2</v>
      </c>
      <c r="L8">
        <f t="shared" si="5"/>
        <v>2.6034165586355513</v>
      </c>
      <c r="M8">
        <f t="shared" si="6"/>
        <v>1.3743685418725538</v>
      </c>
      <c r="N8">
        <f t="shared" si="7"/>
        <v>0.74535599249992979</v>
      </c>
      <c r="O8">
        <f t="shared" si="8"/>
        <v>0.74535599249992979</v>
      </c>
      <c r="P8" t="str">
        <f t="shared" si="9"/>
        <v>C</v>
      </c>
      <c r="Q8">
        <f t="shared" si="10"/>
        <v>0</v>
      </c>
      <c r="S8">
        <f t="shared" si="11"/>
        <v>-1</v>
      </c>
      <c r="T8">
        <f t="shared" si="0"/>
        <v>-1</v>
      </c>
      <c r="U8">
        <f t="shared" si="0"/>
        <v>-1</v>
      </c>
      <c r="V8">
        <f t="shared" si="0"/>
        <v>-1</v>
      </c>
      <c r="W8">
        <f t="shared" si="0"/>
        <v>4</v>
      </c>
      <c r="X8">
        <f t="shared" si="0"/>
        <v>2</v>
      </c>
      <c r="Y8">
        <v>-1</v>
      </c>
      <c r="Z8">
        <v>-1</v>
      </c>
      <c r="AA8">
        <v>-1</v>
      </c>
      <c r="AB8">
        <v>-1</v>
      </c>
      <c r="AC8">
        <v>-1</v>
      </c>
      <c r="AD8">
        <v>-1</v>
      </c>
      <c r="BH8" s="1"/>
    </row>
    <row r="9" spans="1:68">
      <c r="A9">
        <v>5</v>
      </c>
      <c r="B9">
        <v>1</v>
      </c>
      <c r="C9" t="s">
        <v>5</v>
      </c>
      <c r="D9" t="str">
        <f t="shared" si="2"/>
        <v/>
      </c>
      <c r="E9" t="str">
        <f t="shared" si="2"/>
        <v/>
      </c>
      <c r="F9" t="str">
        <f t="shared" si="3"/>
        <v/>
      </c>
      <c r="G9" t="str">
        <f t="shared" si="3"/>
        <v/>
      </c>
      <c r="H9">
        <f t="shared" si="4"/>
        <v>5</v>
      </c>
      <c r="I9">
        <f t="shared" si="4"/>
        <v>1</v>
      </c>
      <c r="L9">
        <f t="shared" si="5"/>
        <v>4.0138648595974313</v>
      </c>
      <c r="M9">
        <f t="shared" si="6"/>
        <v>2.6874192494328502</v>
      </c>
      <c r="N9">
        <f t="shared" si="7"/>
        <v>1.7950549357115013</v>
      </c>
      <c r="O9">
        <f t="shared" si="8"/>
        <v>1.7950549357115013</v>
      </c>
      <c r="P9" t="str">
        <f t="shared" si="9"/>
        <v>C</v>
      </c>
      <c r="Q9">
        <f t="shared" si="10"/>
        <v>0</v>
      </c>
      <c r="S9">
        <f t="shared" si="11"/>
        <v>-1</v>
      </c>
      <c r="T9">
        <f t="shared" si="0"/>
        <v>-1</v>
      </c>
      <c r="U9">
        <f t="shared" si="0"/>
        <v>-1</v>
      </c>
      <c r="V9">
        <f t="shared" si="0"/>
        <v>-1</v>
      </c>
      <c r="W9">
        <f t="shared" si="0"/>
        <v>5</v>
      </c>
      <c r="X9">
        <f t="shared" si="0"/>
        <v>1</v>
      </c>
      <c r="Y9">
        <v>-1</v>
      </c>
      <c r="Z9">
        <v>-1</v>
      </c>
      <c r="AA9">
        <v>-1</v>
      </c>
      <c r="AB9">
        <v>-1</v>
      </c>
      <c r="AC9">
        <v>-1</v>
      </c>
      <c r="AD9">
        <v>-1</v>
      </c>
      <c r="BH9" s="1"/>
    </row>
    <row r="10" spans="1:68">
      <c r="D10">
        <f t="shared" ref="D10:I10" si="12">AVERAGE(D1:D9)</f>
        <v>2.3333333333333335</v>
      </c>
      <c r="E10">
        <f t="shared" si="12"/>
        <v>4</v>
      </c>
      <c r="F10">
        <f t="shared" si="12"/>
        <v>2.6666666666666665</v>
      </c>
      <c r="G10">
        <f t="shared" si="12"/>
        <v>2.3333333333333335</v>
      </c>
      <c r="H10">
        <f t="shared" si="12"/>
        <v>3.3333333333333335</v>
      </c>
      <c r="I10">
        <f t="shared" si="12"/>
        <v>1.6666666666666667</v>
      </c>
      <c r="Q10">
        <f>SUM(Q1:Q9)</f>
        <v>3</v>
      </c>
      <c r="BH10" s="1"/>
    </row>
    <row r="11" spans="1:68">
      <c r="BH11" s="1"/>
    </row>
    <row r="12" spans="1:68">
      <c r="BH12" s="1"/>
      <c r="BP12" t="s">
        <v>6</v>
      </c>
    </row>
    <row r="13" spans="1:68">
      <c r="A13">
        <f>A1</f>
        <v>3</v>
      </c>
      <c r="B13">
        <f>B1</f>
        <v>4</v>
      </c>
      <c r="C13" t="str">
        <f>P1</f>
        <v>A</v>
      </c>
      <c r="D13">
        <f>IF($C13="A",A13,"")</f>
        <v>3</v>
      </c>
      <c r="E13">
        <f>IF($C13="A",B13,"")</f>
        <v>4</v>
      </c>
      <c r="F13" t="str">
        <f>IF($C13="B",A13,"")</f>
        <v/>
      </c>
      <c r="G13" t="str">
        <f>IF($C13="B",B13,"")</f>
        <v/>
      </c>
      <c r="H13" t="str">
        <f>IF($C13="C",A13,"")</f>
        <v/>
      </c>
      <c r="I13" t="str">
        <f>IF($C13="C",B13,"")</f>
        <v/>
      </c>
      <c r="J13">
        <f>D22</f>
        <v>2.6666666666666665</v>
      </c>
      <c r="K13">
        <f>E22</f>
        <v>4.333333333333333</v>
      </c>
      <c r="L13">
        <f>SQRT((A13-D$22)^2+(B13-E$22)^2)</f>
        <v>0.47140452079103157</v>
      </c>
      <c r="M13">
        <f>SQRT((A13-F$22)^2+(B13-G$22)^2)</f>
        <v>2.2360679774997898</v>
      </c>
      <c r="N13">
        <f>SQRT((A13-H$22)^2+(B13-I$22)^2)</f>
        <v>2.9154759474226504</v>
      </c>
      <c r="O13">
        <f>MIN(L13:N13)</f>
        <v>0.47140452079103157</v>
      </c>
      <c r="P13" t="str">
        <f>IF(O13=L13,"A",IF(O13=M13,"B","C"))</f>
        <v>A</v>
      </c>
      <c r="Q13">
        <f>IF(C13=P13,0,1)</f>
        <v>0</v>
      </c>
      <c r="S13">
        <f>IF(D13&lt;&gt;"",D13,-1)</f>
        <v>3</v>
      </c>
      <c r="T13">
        <f t="shared" ref="T13:X21" si="13">IF(E13&lt;&gt;"",E13,-1)</f>
        <v>4</v>
      </c>
      <c r="U13">
        <f t="shared" si="13"/>
        <v>-1</v>
      </c>
      <c r="V13">
        <f t="shared" si="13"/>
        <v>-1</v>
      </c>
      <c r="W13">
        <f t="shared" si="13"/>
        <v>-1</v>
      </c>
      <c r="X13">
        <f t="shared" si="13"/>
        <v>-1</v>
      </c>
      <c r="Y13">
        <f>D22</f>
        <v>2.6666666666666665</v>
      </c>
      <c r="Z13">
        <f t="shared" ref="Z13:AD13" si="14">E22</f>
        <v>4.333333333333333</v>
      </c>
      <c r="AA13">
        <f t="shared" si="14"/>
        <v>2</v>
      </c>
      <c r="AB13">
        <f t="shared" si="14"/>
        <v>2</v>
      </c>
      <c r="AC13">
        <f t="shared" si="14"/>
        <v>4.5</v>
      </c>
      <c r="AD13">
        <f t="shared" si="14"/>
        <v>1.5</v>
      </c>
      <c r="BH13" s="1"/>
    </row>
    <row r="14" spans="1:68">
      <c r="A14">
        <f t="shared" ref="A14:B21" si="15">A2</f>
        <v>1</v>
      </c>
      <c r="B14">
        <f t="shared" si="15"/>
        <v>5</v>
      </c>
      <c r="C14" t="str">
        <f t="shared" ref="C14:C21" si="16">P2</f>
        <v>A</v>
      </c>
      <c r="D14">
        <f t="shared" ref="D14:E21" si="17">IF($C14="A",A14,"")</f>
        <v>1</v>
      </c>
      <c r="E14">
        <f t="shared" si="17"/>
        <v>5</v>
      </c>
      <c r="F14" t="str">
        <f t="shared" ref="F14:G21" si="18">IF($C14="B",A14,"")</f>
        <v/>
      </c>
      <c r="G14" t="str">
        <f t="shared" si="18"/>
        <v/>
      </c>
      <c r="H14" t="str">
        <f t="shared" ref="H14:I21" si="19">IF($C14="C",A14,"")</f>
        <v/>
      </c>
      <c r="I14" t="str">
        <f t="shared" si="19"/>
        <v/>
      </c>
      <c r="J14">
        <f>F22</f>
        <v>2</v>
      </c>
      <c r="K14">
        <f>G22</f>
        <v>2</v>
      </c>
      <c r="L14">
        <f t="shared" ref="L14:L21" si="20">SQRT((A14-D$22)^2+(B14-E$22)^2)</f>
        <v>1.7950549357115013</v>
      </c>
      <c r="M14">
        <f t="shared" ref="M14:M21" si="21">SQRT((A14-F$22)^2+(B14-G$22)^2)</f>
        <v>3.1622776601683795</v>
      </c>
      <c r="N14">
        <f t="shared" ref="N14:N21" si="22">SQRT((A14-H$22)^2+(B14-I$22)^2)</f>
        <v>4.9497474683058327</v>
      </c>
      <c r="O14">
        <f t="shared" ref="O14:O21" si="23">MIN(L14:N14)</f>
        <v>1.7950549357115013</v>
      </c>
      <c r="P14" t="str">
        <f t="shared" ref="P14:P21" si="24">IF(O14=L14,"A",IF(O14=M14,"B","C"))</f>
        <v>A</v>
      </c>
      <c r="Q14">
        <f t="shared" ref="Q14:Q21" si="25">IF(C14=P14,0,1)</f>
        <v>0</v>
      </c>
      <c r="S14">
        <f t="shared" ref="S14:S21" si="26">IF(D14&lt;&gt;"",D14,-1)</f>
        <v>1</v>
      </c>
      <c r="T14">
        <f t="shared" si="13"/>
        <v>5</v>
      </c>
      <c r="U14">
        <f t="shared" si="13"/>
        <v>-1</v>
      </c>
      <c r="V14">
        <f t="shared" si="13"/>
        <v>-1</v>
      </c>
      <c r="W14">
        <f t="shared" si="13"/>
        <v>-1</v>
      </c>
      <c r="X14">
        <f t="shared" si="13"/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BH14" s="1"/>
    </row>
    <row r="15" spans="1:68">
      <c r="A15">
        <f t="shared" si="15"/>
        <v>3</v>
      </c>
      <c r="B15">
        <f t="shared" si="15"/>
        <v>3</v>
      </c>
      <c r="C15" t="str">
        <f t="shared" si="16"/>
        <v>B</v>
      </c>
      <c r="D15" t="str">
        <f t="shared" si="17"/>
        <v/>
      </c>
      <c r="E15" t="str">
        <f t="shared" si="17"/>
        <v/>
      </c>
      <c r="F15">
        <f t="shared" si="18"/>
        <v>3</v>
      </c>
      <c r="G15">
        <f t="shared" si="18"/>
        <v>3</v>
      </c>
      <c r="H15" t="str">
        <f t="shared" si="19"/>
        <v/>
      </c>
      <c r="I15" t="str">
        <f t="shared" si="19"/>
        <v/>
      </c>
      <c r="J15">
        <f>H22</f>
        <v>4.5</v>
      </c>
      <c r="K15">
        <f>I22</f>
        <v>1.5</v>
      </c>
      <c r="L15">
        <f t="shared" si="20"/>
        <v>1.3743685418725533</v>
      </c>
      <c r="M15">
        <f t="shared" si="21"/>
        <v>1.4142135623730951</v>
      </c>
      <c r="N15">
        <f t="shared" si="22"/>
        <v>2.1213203435596424</v>
      </c>
      <c r="O15">
        <f t="shared" si="23"/>
        <v>1.3743685418725533</v>
      </c>
      <c r="P15" t="str">
        <f t="shared" si="24"/>
        <v>A</v>
      </c>
      <c r="Q15">
        <f t="shared" si="25"/>
        <v>1</v>
      </c>
      <c r="S15">
        <f t="shared" si="26"/>
        <v>-1</v>
      </c>
      <c r="T15">
        <f t="shared" si="13"/>
        <v>-1</v>
      </c>
      <c r="U15">
        <f t="shared" si="13"/>
        <v>3</v>
      </c>
      <c r="V15">
        <f t="shared" si="13"/>
        <v>3</v>
      </c>
      <c r="W15">
        <f t="shared" si="13"/>
        <v>-1</v>
      </c>
      <c r="X15">
        <f t="shared" si="13"/>
        <v>-1</v>
      </c>
      <c r="Y15">
        <v>-1</v>
      </c>
      <c r="Z15">
        <v>-1</v>
      </c>
      <c r="AA15">
        <v>-1</v>
      </c>
      <c r="AB15">
        <v>-1</v>
      </c>
      <c r="AC15">
        <v>-1</v>
      </c>
      <c r="AD15">
        <v>-1</v>
      </c>
      <c r="BH15" s="1"/>
    </row>
    <row r="16" spans="1:68">
      <c r="A16">
        <f t="shared" si="15"/>
        <v>4</v>
      </c>
      <c r="B16">
        <f t="shared" si="15"/>
        <v>4</v>
      </c>
      <c r="C16" t="str">
        <f t="shared" si="16"/>
        <v>A</v>
      </c>
      <c r="D16">
        <f t="shared" si="17"/>
        <v>4</v>
      </c>
      <c r="E16">
        <f t="shared" si="17"/>
        <v>4</v>
      </c>
      <c r="F16" t="str">
        <f t="shared" si="18"/>
        <v/>
      </c>
      <c r="G16" t="str">
        <f t="shared" si="18"/>
        <v/>
      </c>
      <c r="H16" t="str">
        <f t="shared" si="19"/>
        <v/>
      </c>
      <c r="I16" t="str">
        <f t="shared" si="19"/>
        <v/>
      </c>
      <c r="L16">
        <f t="shared" si="20"/>
        <v>1.3743685418725535</v>
      </c>
      <c r="M16">
        <f t="shared" si="21"/>
        <v>2.8284271247461903</v>
      </c>
      <c r="N16">
        <f t="shared" si="22"/>
        <v>2.5495097567963922</v>
      </c>
      <c r="O16">
        <f t="shared" si="23"/>
        <v>1.3743685418725535</v>
      </c>
      <c r="P16" t="str">
        <f t="shared" si="24"/>
        <v>A</v>
      </c>
      <c r="Q16">
        <f t="shared" si="25"/>
        <v>0</v>
      </c>
      <c r="S16">
        <f t="shared" si="26"/>
        <v>4</v>
      </c>
      <c r="T16">
        <f t="shared" si="13"/>
        <v>4</v>
      </c>
      <c r="U16">
        <f t="shared" si="13"/>
        <v>-1</v>
      </c>
      <c r="V16">
        <f t="shared" si="13"/>
        <v>-1</v>
      </c>
      <c r="W16">
        <f t="shared" si="13"/>
        <v>-1</v>
      </c>
      <c r="X16">
        <f t="shared" si="13"/>
        <v>-1</v>
      </c>
      <c r="Y16">
        <v>-1</v>
      </c>
      <c r="Z16">
        <v>-1</v>
      </c>
      <c r="AA16">
        <v>-1</v>
      </c>
      <c r="AB16">
        <v>-1</v>
      </c>
      <c r="AC16">
        <v>-1</v>
      </c>
      <c r="AD16">
        <v>-1</v>
      </c>
      <c r="BH16" s="1"/>
    </row>
    <row r="17" spans="1:60">
      <c r="A17">
        <f t="shared" si="15"/>
        <v>2</v>
      </c>
      <c r="B17">
        <f t="shared" si="15"/>
        <v>1</v>
      </c>
      <c r="C17" t="str">
        <f t="shared" si="16"/>
        <v>B</v>
      </c>
      <c r="D17" t="str">
        <f t="shared" si="17"/>
        <v/>
      </c>
      <c r="E17" t="str">
        <f t="shared" si="17"/>
        <v/>
      </c>
      <c r="F17">
        <f t="shared" si="18"/>
        <v>2</v>
      </c>
      <c r="G17">
        <f t="shared" si="18"/>
        <v>1</v>
      </c>
      <c r="H17" t="str">
        <f t="shared" si="19"/>
        <v/>
      </c>
      <c r="I17" t="str">
        <f t="shared" si="19"/>
        <v/>
      </c>
      <c r="L17">
        <f t="shared" si="20"/>
        <v>3.3993463423951895</v>
      </c>
      <c r="M17">
        <f t="shared" si="21"/>
        <v>1</v>
      </c>
      <c r="N17">
        <f t="shared" si="22"/>
        <v>2.5495097567963922</v>
      </c>
      <c r="O17">
        <f t="shared" si="23"/>
        <v>1</v>
      </c>
      <c r="P17" t="str">
        <f t="shared" si="24"/>
        <v>B</v>
      </c>
      <c r="Q17">
        <f t="shared" si="25"/>
        <v>0</v>
      </c>
      <c r="S17">
        <f t="shared" si="26"/>
        <v>-1</v>
      </c>
      <c r="T17">
        <f t="shared" si="13"/>
        <v>-1</v>
      </c>
      <c r="U17">
        <f t="shared" si="13"/>
        <v>2</v>
      </c>
      <c r="V17">
        <f t="shared" si="13"/>
        <v>1</v>
      </c>
      <c r="W17">
        <f t="shared" si="13"/>
        <v>-1</v>
      </c>
      <c r="X17">
        <f t="shared" si="13"/>
        <v>-1</v>
      </c>
      <c r="Y17">
        <v>-1</v>
      </c>
      <c r="Z17">
        <v>-1</v>
      </c>
      <c r="AA17">
        <v>-1</v>
      </c>
      <c r="AB17">
        <v>-1</v>
      </c>
      <c r="AC17">
        <v>-1</v>
      </c>
      <c r="AD17">
        <v>-1</v>
      </c>
    </row>
    <row r="18" spans="1:60">
      <c r="A18">
        <f t="shared" si="15"/>
        <v>2</v>
      </c>
      <c r="B18">
        <f t="shared" si="15"/>
        <v>2</v>
      </c>
      <c r="C18" t="str">
        <f t="shared" si="16"/>
        <v>B</v>
      </c>
      <c r="D18" t="str">
        <f t="shared" si="17"/>
        <v/>
      </c>
      <c r="E18" t="str">
        <f t="shared" si="17"/>
        <v/>
      </c>
      <c r="F18">
        <f t="shared" si="18"/>
        <v>2</v>
      </c>
      <c r="G18">
        <f t="shared" si="18"/>
        <v>2</v>
      </c>
      <c r="H18" t="str">
        <f t="shared" si="19"/>
        <v/>
      </c>
      <c r="I18" t="str">
        <f t="shared" si="19"/>
        <v/>
      </c>
      <c r="L18">
        <f t="shared" si="20"/>
        <v>2.4267032964268394</v>
      </c>
      <c r="M18">
        <f t="shared" si="21"/>
        <v>0</v>
      </c>
      <c r="N18">
        <f t="shared" si="22"/>
        <v>2.5495097567963922</v>
      </c>
      <c r="O18">
        <f t="shared" si="23"/>
        <v>0</v>
      </c>
      <c r="P18" t="str">
        <f t="shared" si="24"/>
        <v>B</v>
      </c>
      <c r="Q18">
        <f t="shared" si="25"/>
        <v>0</v>
      </c>
      <c r="S18">
        <f t="shared" si="26"/>
        <v>-1</v>
      </c>
      <c r="T18">
        <f t="shared" si="13"/>
        <v>-1</v>
      </c>
      <c r="U18">
        <f t="shared" si="13"/>
        <v>2</v>
      </c>
      <c r="V18">
        <f t="shared" si="13"/>
        <v>2</v>
      </c>
      <c r="W18">
        <f t="shared" si="13"/>
        <v>-1</v>
      </c>
      <c r="X18">
        <f t="shared" si="13"/>
        <v>-1</v>
      </c>
      <c r="Y18">
        <v>-1</v>
      </c>
      <c r="Z18">
        <v>-1</v>
      </c>
      <c r="AA18">
        <v>-1</v>
      </c>
      <c r="AB18">
        <v>-1</v>
      </c>
      <c r="AC18">
        <v>-1</v>
      </c>
      <c r="AD18">
        <v>-1</v>
      </c>
    </row>
    <row r="19" spans="1:60">
      <c r="A19">
        <f t="shared" si="15"/>
        <v>1</v>
      </c>
      <c r="B19">
        <f t="shared" si="15"/>
        <v>2</v>
      </c>
      <c r="C19" t="str">
        <f t="shared" si="16"/>
        <v>B</v>
      </c>
      <c r="D19" t="str">
        <f t="shared" si="17"/>
        <v/>
      </c>
      <c r="E19" t="str">
        <f t="shared" si="17"/>
        <v/>
      </c>
      <c r="F19">
        <f t="shared" si="18"/>
        <v>1</v>
      </c>
      <c r="G19">
        <f t="shared" si="18"/>
        <v>2</v>
      </c>
      <c r="H19" t="str">
        <f t="shared" si="19"/>
        <v/>
      </c>
      <c r="I19" t="str">
        <f t="shared" si="19"/>
        <v/>
      </c>
      <c r="L19">
        <f t="shared" si="20"/>
        <v>2.8674417556808751</v>
      </c>
      <c r="M19">
        <f t="shared" si="21"/>
        <v>1</v>
      </c>
      <c r="N19">
        <f t="shared" si="22"/>
        <v>3.5355339059327378</v>
      </c>
      <c r="O19">
        <f t="shared" si="23"/>
        <v>1</v>
      </c>
      <c r="P19" t="str">
        <f t="shared" si="24"/>
        <v>B</v>
      </c>
      <c r="Q19">
        <f t="shared" si="25"/>
        <v>0</v>
      </c>
      <c r="S19">
        <f t="shared" si="26"/>
        <v>-1</v>
      </c>
      <c r="T19">
        <f t="shared" si="13"/>
        <v>-1</v>
      </c>
      <c r="U19">
        <f t="shared" si="13"/>
        <v>1</v>
      </c>
      <c r="V19">
        <f t="shared" si="13"/>
        <v>2</v>
      </c>
      <c r="W19">
        <f t="shared" si="13"/>
        <v>-1</v>
      </c>
      <c r="X19">
        <f t="shared" si="13"/>
        <v>-1</v>
      </c>
      <c r="Y19">
        <v>-1</v>
      </c>
      <c r="Z19">
        <v>-1</v>
      </c>
      <c r="AA19">
        <v>-1</v>
      </c>
      <c r="AB19">
        <v>-1</v>
      </c>
      <c r="AC19">
        <v>-1</v>
      </c>
      <c r="AD19">
        <v>-1</v>
      </c>
    </row>
    <row r="20" spans="1:60">
      <c r="A20">
        <f t="shared" si="15"/>
        <v>4</v>
      </c>
      <c r="B20">
        <f t="shared" si="15"/>
        <v>2</v>
      </c>
      <c r="C20" t="str">
        <f t="shared" si="16"/>
        <v>C</v>
      </c>
      <c r="D20" t="str">
        <f t="shared" si="17"/>
        <v/>
      </c>
      <c r="E20" t="str">
        <f t="shared" si="17"/>
        <v/>
      </c>
      <c r="F20" t="str">
        <f t="shared" si="18"/>
        <v/>
      </c>
      <c r="G20" t="str">
        <f t="shared" si="18"/>
        <v/>
      </c>
      <c r="H20">
        <f t="shared" si="19"/>
        <v>4</v>
      </c>
      <c r="I20">
        <f t="shared" si="19"/>
        <v>2</v>
      </c>
      <c r="L20">
        <f t="shared" si="20"/>
        <v>2.6874192494328497</v>
      </c>
      <c r="M20">
        <f t="shared" si="21"/>
        <v>2</v>
      </c>
      <c r="N20">
        <f t="shared" si="22"/>
        <v>0.70710678118654757</v>
      </c>
      <c r="O20">
        <f t="shared" si="23"/>
        <v>0.70710678118654757</v>
      </c>
      <c r="P20" t="str">
        <f t="shared" si="24"/>
        <v>C</v>
      </c>
      <c r="Q20">
        <f t="shared" si="25"/>
        <v>0</v>
      </c>
      <c r="S20">
        <f t="shared" si="26"/>
        <v>-1</v>
      </c>
      <c r="T20">
        <f t="shared" si="13"/>
        <v>-1</v>
      </c>
      <c r="U20">
        <f t="shared" si="13"/>
        <v>-1</v>
      </c>
      <c r="V20">
        <f t="shared" si="13"/>
        <v>-1</v>
      </c>
      <c r="W20">
        <f t="shared" si="13"/>
        <v>4</v>
      </c>
      <c r="X20">
        <f t="shared" si="13"/>
        <v>2</v>
      </c>
      <c r="Y20">
        <v>-1</v>
      </c>
      <c r="Z20">
        <v>-1</v>
      </c>
      <c r="AA20">
        <v>-1</v>
      </c>
      <c r="AB20">
        <v>-1</v>
      </c>
      <c r="AC20">
        <v>-1</v>
      </c>
      <c r="AD20">
        <v>-1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</row>
    <row r="21" spans="1:60">
      <c r="A21">
        <f t="shared" si="15"/>
        <v>5</v>
      </c>
      <c r="B21">
        <f t="shared" si="15"/>
        <v>1</v>
      </c>
      <c r="C21" t="str">
        <f t="shared" si="16"/>
        <v>C</v>
      </c>
      <c r="D21" t="str">
        <f t="shared" si="17"/>
        <v/>
      </c>
      <c r="E21" t="str">
        <f t="shared" si="17"/>
        <v/>
      </c>
      <c r="F21" t="str">
        <f t="shared" si="18"/>
        <v/>
      </c>
      <c r="G21" t="str">
        <f t="shared" si="18"/>
        <v/>
      </c>
      <c r="H21">
        <f t="shared" si="19"/>
        <v>5</v>
      </c>
      <c r="I21">
        <f t="shared" si="19"/>
        <v>1</v>
      </c>
      <c r="L21">
        <f t="shared" si="20"/>
        <v>4.0688518719112343</v>
      </c>
      <c r="M21">
        <f t="shared" si="21"/>
        <v>3.1622776601683795</v>
      </c>
      <c r="N21">
        <f t="shared" si="22"/>
        <v>0.70710678118654757</v>
      </c>
      <c r="O21">
        <f t="shared" si="23"/>
        <v>0.70710678118654757</v>
      </c>
      <c r="P21" t="str">
        <f t="shared" si="24"/>
        <v>C</v>
      </c>
      <c r="Q21">
        <f t="shared" si="25"/>
        <v>0</v>
      </c>
      <c r="S21">
        <f t="shared" si="26"/>
        <v>-1</v>
      </c>
      <c r="T21">
        <f t="shared" si="13"/>
        <v>-1</v>
      </c>
      <c r="U21">
        <f t="shared" si="13"/>
        <v>-1</v>
      </c>
      <c r="V21">
        <f t="shared" si="13"/>
        <v>-1</v>
      </c>
      <c r="W21">
        <f t="shared" si="13"/>
        <v>5</v>
      </c>
      <c r="X21">
        <f t="shared" si="13"/>
        <v>1</v>
      </c>
      <c r="Y21">
        <v>-1</v>
      </c>
      <c r="Z21">
        <v>-1</v>
      </c>
      <c r="AA21">
        <v>-1</v>
      </c>
      <c r="AB21">
        <v>-1</v>
      </c>
      <c r="AC21">
        <v>-1</v>
      </c>
      <c r="AD21">
        <v>-1</v>
      </c>
    </row>
    <row r="22" spans="1:60">
      <c r="D22">
        <f t="shared" ref="D22:I22" si="27">AVERAGE(D13:D21)</f>
        <v>2.6666666666666665</v>
      </c>
      <c r="E22">
        <f t="shared" si="27"/>
        <v>4.333333333333333</v>
      </c>
      <c r="F22">
        <f t="shared" si="27"/>
        <v>2</v>
      </c>
      <c r="G22">
        <f t="shared" si="27"/>
        <v>2</v>
      </c>
      <c r="H22">
        <f t="shared" si="27"/>
        <v>4.5</v>
      </c>
      <c r="I22">
        <f t="shared" si="27"/>
        <v>1.5</v>
      </c>
      <c r="Q22">
        <f>SUM(Q13:Q21)</f>
        <v>1</v>
      </c>
    </row>
    <row r="24" spans="1:60">
      <c r="BH24" s="2"/>
    </row>
    <row r="25" spans="1:60">
      <c r="A25">
        <f>A13</f>
        <v>3</v>
      </c>
      <c r="B25">
        <f>B13</f>
        <v>4</v>
      </c>
      <c r="C25" t="str">
        <f>P13</f>
        <v>A</v>
      </c>
      <c r="D25">
        <f>IF($C25="A",A25,"")</f>
        <v>3</v>
      </c>
      <c r="E25">
        <f>IF($C25="A",B25,"")</f>
        <v>4</v>
      </c>
      <c r="F25" t="str">
        <f>IF($C25="B",A25,"")</f>
        <v/>
      </c>
      <c r="G25" t="str">
        <f>IF($C25="B",B25,"")</f>
        <v/>
      </c>
      <c r="H25" t="str">
        <f>IF($C25="C",A25,"")</f>
        <v/>
      </c>
      <c r="I25" t="str">
        <f>IF($C25="C",B25,"")</f>
        <v/>
      </c>
      <c r="J25">
        <f>D34</f>
        <v>2.75</v>
      </c>
      <c r="K25">
        <f>E34</f>
        <v>4</v>
      </c>
      <c r="L25">
        <f>SQRT((A25-D$34)^2+(B25-E$34)^2)</f>
        <v>0.25</v>
      </c>
      <c r="M25">
        <f>SQRT((A25-F$34)^2+(B25-G$34)^2)</f>
        <v>2.6874192494328497</v>
      </c>
      <c r="N25">
        <f>SQRT((A25-H$34)^2+(B25-I$34)^2)</f>
        <v>2.9154759474226504</v>
      </c>
      <c r="O25">
        <f>MIN(L25:N25)</f>
        <v>0.25</v>
      </c>
      <c r="P25" t="str">
        <f>IF(O25=L25,"A",IF(O25=M25,"B","C"))</f>
        <v>A</v>
      </c>
      <c r="Q25">
        <f>IF(C25=P25,0,1)</f>
        <v>0</v>
      </c>
      <c r="S25">
        <f>IF(D25&lt;&gt;"",D25,-1)</f>
        <v>3</v>
      </c>
      <c r="T25">
        <f t="shared" ref="T25:X33" si="28">IF(E25&lt;&gt;"",E25,-1)</f>
        <v>4</v>
      </c>
      <c r="U25">
        <f t="shared" si="28"/>
        <v>-1</v>
      </c>
      <c r="V25">
        <f t="shared" si="28"/>
        <v>-1</v>
      </c>
      <c r="W25">
        <f t="shared" si="28"/>
        <v>-1</v>
      </c>
      <c r="X25">
        <f t="shared" si="28"/>
        <v>-1</v>
      </c>
      <c r="Y25">
        <f>D34</f>
        <v>2.75</v>
      </c>
      <c r="Z25">
        <f t="shared" ref="Z25:AD25" si="29">E34</f>
        <v>4</v>
      </c>
      <c r="AA25">
        <f t="shared" si="29"/>
        <v>1.6666666666666667</v>
      </c>
      <c r="AB25">
        <f t="shared" si="29"/>
        <v>1.6666666666666667</v>
      </c>
      <c r="AC25">
        <f t="shared" si="29"/>
        <v>4.5</v>
      </c>
      <c r="AD25">
        <f t="shared" si="29"/>
        <v>1.5</v>
      </c>
      <c r="BH25" s="2"/>
    </row>
    <row r="26" spans="1:60">
      <c r="A26">
        <f t="shared" ref="A26:B33" si="30">A14</f>
        <v>1</v>
      </c>
      <c r="B26">
        <f t="shared" si="30"/>
        <v>5</v>
      </c>
      <c r="C26" t="str">
        <f t="shared" ref="C26:C33" si="31">P14</f>
        <v>A</v>
      </c>
      <c r="D26">
        <f t="shared" ref="D26:E33" si="32">IF($C26="A",A26,"")</f>
        <v>1</v>
      </c>
      <c r="E26">
        <f t="shared" si="32"/>
        <v>5</v>
      </c>
      <c r="F26" t="str">
        <f t="shared" ref="F26:G33" si="33">IF($C26="B",A26,"")</f>
        <v/>
      </c>
      <c r="G26" t="str">
        <f t="shared" si="33"/>
        <v/>
      </c>
      <c r="H26" t="str">
        <f t="shared" ref="H26:I33" si="34">IF($C26="C",A26,"")</f>
        <v/>
      </c>
      <c r="I26" t="str">
        <f t="shared" si="34"/>
        <v/>
      </c>
      <c r="J26">
        <f>F34</f>
        <v>1.6666666666666667</v>
      </c>
      <c r="K26">
        <f>G34</f>
        <v>1.6666666666666667</v>
      </c>
      <c r="L26">
        <f t="shared" ref="L26:L33" si="35">SQRT((A26-D$34)^2+(B26-E$34)^2)</f>
        <v>2.0155644370746373</v>
      </c>
      <c r="M26">
        <f t="shared" ref="M26:M33" si="36">SQRT((A26-F$34)^2+(B26-G$34)^2)</f>
        <v>3.3993463423951895</v>
      </c>
      <c r="N26">
        <f t="shared" ref="N26:N33" si="37">SQRT((A26-H$34)^2+(B26-I$34)^2)</f>
        <v>4.9497474683058327</v>
      </c>
      <c r="O26">
        <f t="shared" ref="O26:O33" si="38">MIN(L26:N26)</f>
        <v>2.0155644370746373</v>
      </c>
      <c r="P26" t="str">
        <f t="shared" ref="P26:P33" si="39">IF(O26=L26,"A",IF(O26=M26,"B","C"))</f>
        <v>A</v>
      </c>
      <c r="Q26">
        <f t="shared" ref="Q26:Q33" si="40">IF(C26=P26,0,1)</f>
        <v>0</v>
      </c>
      <c r="S26">
        <f t="shared" ref="S26:S33" si="41">IF(D26&lt;&gt;"",D26,-1)</f>
        <v>1</v>
      </c>
      <c r="T26">
        <f t="shared" si="28"/>
        <v>5</v>
      </c>
      <c r="U26">
        <f t="shared" si="28"/>
        <v>-1</v>
      </c>
      <c r="V26">
        <f t="shared" si="28"/>
        <v>-1</v>
      </c>
      <c r="W26">
        <f t="shared" si="28"/>
        <v>-1</v>
      </c>
      <c r="X26">
        <f t="shared" si="28"/>
        <v>-1</v>
      </c>
      <c r="Y26">
        <v>-1</v>
      </c>
      <c r="Z26">
        <v>-1</v>
      </c>
      <c r="AA26">
        <v>-1</v>
      </c>
      <c r="AB26">
        <v>-1</v>
      </c>
      <c r="AC26">
        <v>-1</v>
      </c>
      <c r="AD26">
        <v>-1</v>
      </c>
      <c r="BH26" s="2"/>
    </row>
    <row r="27" spans="1:60">
      <c r="A27">
        <f t="shared" si="30"/>
        <v>3</v>
      </c>
      <c r="B27">
        <f t="shared" si="30"/>
        <v>3</v>
      </c>
      <c r="C27" t="str">
        <f t="shared" si="31"/>
        <v>A</v>
      </c>
      <c r="D27">
        <f t="shared" si="32"/>
        <v>3</v>
      </c>
      <c r="E27">
        <f t="shared" si="32"/>
        <v>3</v>
      </c>
      <c r="F27" t="str">
        <f t="shared" si="33"/>
        <v/>
      </c>
      <c r="G27" t="str">
        <f t="shared" si="33"/>
        <v/>
      </c>
      <c r="H27" t="str">
        <f t="shared" si="34"/>
        <v/>
      </c>
      <c r="I27" t="str">
        <f t="shared" si="34"/>
        <v/>
      </c>
      <c r="J27">
        <f>H34</f>
        <v>4.5</v>
      </c>
      <c r="K27">
        <f>I34</f>
        <v>1.5</v>
      </c>
      <c r="L27">
        <f t="shared" si="35"/>
        <v>1.0307764064044151</v>
      </c>
      <c r="M27">
        <f t="shared" si="36"/>
        <v>1.8856180831641267</v>
      </c>
      <c r="N27">
        <f t="shared" si="37"/>
        <v>2.1213203435596424</v>
      </c>
      <c r="O27">
        <f t="shared" si="38"/>
        <v>1.0307764064044151</v>
      </c>
      <c r="P27" t="str">
        <f t="shared" si="39"/>
        <v>A</v>
      </c>
      <c r="Q27">
        <f t="shared" si="40"/>
        <v>0</v>
      </c>
      <c r="S27">
        <f t="shared" si="41"/>
        <v>3</v>
      </c>
      <c r="T27">
        <f t="shared" si="28"/>
        <v>3</v>
      </c>
      <c r="U27">
        <f t="shared" si="28"/>
        <v>-1</v>
      </c>
      <c r="V27">
        <f t="shared" si="28"/>
        <v>-1</v>
      </c>
      <c r="W27">
        <f t="shared" si="28"/>
        <v>-1</v>
      </c>
      <c r="X27">
        <f t="shared" si="28"/>
        <v>-1</v>
      </c>
      <c r="Y27">
        <v>-1</v>
      </c>
      <c r="Z27">
        <v>-1</v>
      </c>
      <c r="AA27">
        <v>-1</v>
      </c>
      <c r="AB27">
        <v>-1</v>
      </c>
      <c r="AC27">
        <v>-1</v>
      </c>
      <c r="AD27">
        <v>-1</v>
      </c>
      <c r="BH27" s="2"/>
    </row>
    <row r="28" spans="1:60">
      <c r="A28">
        <f t="shared" si="30"/>
        <v>4</v>
      </c>
      <c r="B28">
        <f t="shared" si="30"/>
        <v>4</v>
      </c>
      <c r="C28" t="str">
        <f t="shared" si="31"/>
        <v>A</v>
      </c>
      <c r="D28">
        <f t="shared" si="32"/>
        <v>4</v>
      </c>
      <c r="E28">
        <f t="shared" si="32"/>
        <v>4</v>
      </c>
      <c r="F28" t="str">
        <f t="shared" si="33"/>
        <v/>
      </c>
      <c r="G28" t="str">
        <f t="shared" si="33"/>
        <v/>
      </c>
      <c r="H28" t="str">
        <f t="shared" si="34"/>
        <v/>
      </c>
      <c r="I28" t="str">
        <f t="shared" si="34"/>
        <v/>
      </c>
      <c r="L28">
        <f t="shared" si="35"/>
        <v>1.25</v>
      </c>
      <c r="M28">
        <f t="shared" si="36"/>
        <v>3.2998316455372212</v>
      </c>
      <c r="N28">
        <f t="shared" si="37"/>
        <v>2.5495097567963922</v>
      </c>
      <c r="O28">
        <f t="shared" si="38"/>
        <v>1.25</v>
      </c>
      <c r="P28" t="str">
        <f t="shared" si="39"/>
        <v>A</v>
      </c>
      <c r="Q28">
        <f t="shared" si="40"/>
        <v>0</v>
      </c>
      <c r="S28">
        <f t="shared" si="41"/>
        <v>4</v>
      </c>
      <c r="T28">
        <f t="shared" si="28"/>
        <v>4</v>
      </c>
      <c r="U28">
        <f t="shared" si="28"/>
        <v>-1</v>
      </c>
      <c r="V28">
        <f t="shared" si="28"/>
        <v>-1</v>
      </c>
      <c r="W28">
        <f t="shared" si="28"/>
        <v>-1</v>
      </c>
      <c r="X28">
        <f t="shared" si="28"/>
        <v>-1</v>
      </c>
      <c r="Y28">
        <v>-1</v>
      </c>
      <c r="Z28">
        <v>-1</v>
      </c>
      <c r="AA28">
        <v>-1</v>
      </c>
      <c r="AB28">
        <v>-1</v>
      </c>
      <c r="AC28">
        <v>-1</v>
      </c>
      <c r="AD28">
        <v>-1</v>
      </c>
    </row>
    <row r="29" spans="1:60">
      <c r="A29">
        <f t="shared" si="30"/>
        <v>2</v>
      </c>
      <c r="B29">
        <f t="shared" si="30"/>
        <v>1</v>
      </c>
      <c r="C29" t="str">
        <f t="shared" si="31"/>
        <v>B</v>
      </c>
      <c r="D29" t="str">
        <f t="shared" si="32"/>
        <v/>
      </c>
      <c r="E29" t="str">
        <f t="shared" si="32"/>
        <v/>
      </c>
      <c r="F29">
        <f t="shared" si="33"/>
        <v>2</v>
      </c>
      <c r="G29">
        <f t="shared" si="33"/>
        <v>1</v>
      </c>
      <c r="H29" t="str">
        <f t="shared" si="34"/>
        <v/>
      </c>
      <c r="I29" t="str">
        <f t="shared" si="34"/>
        <v/>
      </c>
      <c r="L29">
        <f t="shared" si="35"/>
        <v>3.0923292192132452</v>
      </c>
      <c r="M29">
        <f t="shared" si="36"/>
        <v>0.7453559924999299</v>
      </c>
      <c r="N29">
        <f t="shared" si="37"/>
        <v>2.5495097567963922</v>
      </c>
      <c r="O29">
        <f t="shared" si="38"/>
        <v>0.7453559924999299</v>
      </c>
      <c r="P29" t="str">
        <f t="shared" si="39"/>
        <v>B</v>
      </c>
      <c r="Q29">
        <f t="shared" si="40"/>
        <v>0</v>
      </c>
      <c r="S29">
        <f t="shared" si="41"/>
        <v>-1</v>
      </c>
      <c r="T29">
        <f t="shared" si="28"/>
        <v>-1</v>
      </c>
      <c r="U29">
        <f t="shared" si="28"/>
        <v>2</v>
      </c>
      <c r="V29">
        <f t="shared" si="28"/>
        <v>1</v>
      </c>
      <c r="W29">
        <f t="shared" si="28"/>
        <v>-1</v>
      </c>
      <c r="X29">
        <f t="shared" si="28"/>
        <v>-1</v>
      </c>
      <c r="Y29">
        <v>-1</v>
      </c>
      <c r="Z29">
        <v>-1</v>
      </c>
      <c r="AA29">
        <v>-1</v>
      </c>
      <c r="AB29">
        <v>-1</v>
      </c>
      <c r="AC29">
        <v>-1</v>
      </c>
      <c r="AD29">
        <v>-1</v>
      </c>
    </row>
    <row r="30" spans="1:60">
      <c r="A30">
        <f t="shared" si="30"/>
        <v>2</v>
      </c>
      <c r="B30">
        <f t="shared" si="30"/>
        <v>2</v>
      </c>
      <c r="C30" t="str">
        <f t="shared" si="31"/>
        <v>B</v>
      </c>
      <c r="D30" t="str">
        <f t="shared" si="32"/>
        <v/>
      </c>
      <c r="E30" t="str">
        <f t="shared" si="32"/>
        <v/>
      </c>
      <c r="F30">
        <f t="shared" si="33"/>
        <v>2</v>
      </c>
      <c r="G30">
        <f t="shared" si="33"/>
        <v>2</v>
      </c>
      <c r="H30" t="str">
        <f t="shared" si="34"/>
        <v/>
      </c>
      <c r="I30" t="str">
        <f t="shared" si="34"/>
        <v/>
      </c>
      <c r="L30">
        <f t="shared" si="35"/>
        <v>2.1360009363293826</v>
      </c>
      <c r="M30">
        <f t="shared" si="36"/>
        <v>0.47140452079103157</v>
      </c>
      <c r="N30">
        <f t="shared" si="37"/>
        <v>2.5495097567963922</v>
      </c>
      <c r="O30">
        <f t="shared" si="38"/>
        <v>0.47140452079103157</v>
      </c>
      <c r="P30" t="str">
        <f t="shared" si="39"/>
        <v>B</v>
      </c>
      <c r="Q30">
        <f t="shared" si="40"/>
        <v>0</v>
      </c>
      <c r="S30">
        <f t="shared" si="41"/>
        <v>-1</v>
      </c>
      <c r="T30">
        <f t="shared" si="28"/>
        <v>-1</v>
      </c>
      <c r="U30">
        <f t="shared" si="28"/>
        <v>2</v>
      </c>
      <c r="V30">
        <f t="shared" si="28"/>
        <v>2</v>
      </c>
      <c r="W30">
        <f t="shared" si="28"/>
        <v>-1</v>
      </c>
      <c r="X30">
        <f t="shared" si="28"/>
        <v>-1</v>
      </c>
      <c r="Y30">
        <v>-1</v>
      </c>
      <c r="Z30">
        <v>-1</v>
      </c>
      <c r="AA30">
        <v>-1</v>
      </c>
      <c r="AB30">
        <v>-1</v>
      </c>
      <c r="AC30">
        <v>-1</v>
      </c>
      <c r="AD30">
        <v>-1</v>
      </c>
    </row>
    <row r="31" spans="1:60">
      <c r="A31">
        <f t="shared" si="30"/>
        <v>1</v>
      </c>
      <c r="B31">
        <f t="shared" si="30"/>
        <v>2</v>
      </c>
      <c r="C31" t="str">
        <f t="shared" si="31"/>
        <v>B</v>
      </c>
      <c r="D31" t="str">
        <f t="shared" si="32"/>
        <v/>
      </c>
      <c r="E31" t="str">
        <f t="shared" si="32"/>
        <v/>
      </c>
      <c r="F31">
        <f t="shared" si="33"/>
        <v>1</v>
      </c>
      <c r="G31">
        <f t="shared" si="33"/>
        <v>2</v>
      </c>
      <c r="H31" t="str">
        <f t="shared" si="34"/>
        <v/>
      </c>
      <c r="I31" t="str">
        <f t="shared" si="34"/>
        <v/>
      </c>
      <c r="L31">
        <f t="shared" si="35"/>
        <v>2.6575364531836625</v>
      </c>
      <c r="M31">
        <f t="shared" si="36"/>
        <v>0.7453559924999299</v>
      </c>
      <c r="N31">
        <f t="shared" si="37"/>
        <v>3.5355339059327378</v>
      </c>
      <c r="O31">
        <f t="shared" si="38"/>
        <v>0.7453559924999299</v>
      </c>
      <c r="P31" t="str">
        <f t="shared" si="39"/>
        <v>B</v>
      </c>
      <c r="Q31">
        <f t="shared" si="40"/>
        <v>0</v>
      </c>
      <c r="S31">
        <f t="shared" si="41"/>
        <v>-1</v>
      </c>
      <c r="T31">
        <f t="shared" si="28"/>
        <v>-1</v>
      </c>
      <c r="U31">
        <f t="shared" si="28"/>
        <v>1</v>
      </c>
      <c r="V31">
        <f t="shared" si="28"/>
        <v>2</v>
      </c>
      <c r="W31">
        <f t="shared" si="28"/>
        <v>-1</v>
      </c>
      <c r="X31">
        <f t="shared" si="28"/>
        <v>-1</v>
      </c>
      <c r="Y31">
        <v>-1</v>
      </c>
      <c r="Z31">
        <v>-1</v>
      </c>
      <c r="AA31">
        <v>-1</v>
      </c>
      <c r="AB31">
        <v>-1</v>
      </c>
      <c r="AC31">
        <v>-1</v>
      </c>
      <c r="AD31">
        <v>-1</v>
      </c>
    </row>
    <row r="32" spans="1:60">
      <c r="A32">
        <f t="shared" si="30"/>
        <v>4</v>
      </c>
      <c r="B32">
        <f t="shared" si="30"/>
        <v>2</v>
      </c>
      <c r="C32" t="str">
        <f t="shared" si="31"/>
        <v>C</v>
      </c>
      <c r="D32" t="str">
        <f t="shared" si="32"/>
        <v/>
      </c>
      <c r="E32" t="str">
        <f t="shared" si="32"/>
        <v/>
      </c>
      <c r="F32" t="str">
        <f t="shared" si="33"/>
        <v/>
      </c>
      <c r="G32" t="str">
        <f t="shared" si="33"/>
        <v/>
      </c>
      <c r="H32">
        <f t="shared" si="34"/>
        <v>4</v>
      </c>
      <c r="I32">
        <f t="shared" si="34"/>
        <v>2</v>
      </c>
      <c r="L32">
        <f t="shared" si="35"/>
        <v>2.3584952830141508</v>
      </c>
      <c r="M32">
        <f t="shared" si="36"/>
        <v>2.3570226039551581</v>
      </c>
      <c r="N32">
        <f t="shared" si="37"/>
        <v>0.70710678118654757</v>
      </c>
      <c r="O32">
        <f t="shared" si="38"/>
        <v>0.70710678118654757</v>
      </c>
      <c r="P32" t="str">
        <f t="shared" si="39"/>
        <v>C</v>
      </c>
      <c r="Q32">
        <f t="shared" si="40"/>
        <v>0</v>
      </c>
      <c r="S32">
        <f t="shared" si="41"/>
        <v>-1</v>
      </c>
      <c r="T32">
        <f t="shared" si="28"/>
        <v>-1</v>
      </c>
      <c r="U32">
        <f t="shared" si="28"/>
        <v>-1</v>
      </c>
      <c r="V32">
        <f t="shared" si="28"/>
        <v>-1</v>
      </c>
      <c r="W32">
        <f t="shared" si="28"/>
        <v>4</v>
      </c>
      <c r="X32">
        <f t="shared" si="28"/>
        <v>2</v>
      </c>
      <c r="Y32">
        <v>-1</v>
      </c>
      <c r="Z32">
        <v>-1</v>
      </c>
      <c r="AA32">
        <v>-1</v>
      </c>
      <c r="AB32">
        <v>-1</v>
      </c>
      <c r="AC32">
        <v>-1</v>
      </c>
      <c r="AD32">
        <v>-1</v>
      </c>
    </row>
    <row r="33" spans="1:30">
      <c r="A33">
        <f t="shared" si="30"/>
        <v>5</v>
      </c>
      <c r="B33">
        <f t="shared" si="30"/>
        <v>1</v>
      </c>
      <c r="C33" t="str">
        <f t="shared" si="31"/>
        <v>C</v>
      </c>
      <c r="D33" t="str">
        <f t="shared" si="32"/>
        <v/>
      </c>
      <c r="E33" t="str">
        <f t="shared" si="32"/>
        <v/>
      </c>
      <c r="F33" t="str">
        <f t="shared" si="33"/>
        <v/>
      </c>
      <c r="G33" t="str">
        <f t="shared" si="33"/>
        <v/>
      </c>
      <c r="H33">
        <f t="shared" si="34"/>
        <v>5</v>
      </c>
      <c r="I33">
        <f t="shared" si="34"/>
        <v>1</v>
      </c>
      <c r="L33">
        <f t="shared" si="35"/>
        <v>3.75</v>
      </c>
      <c r="M33">
        <f t="shared" si="36"/>
        <v>3.3993463423951895</v>
      </c>
      <c r="N33">
        <f t="shared" si="37"/>
        <v>0.70710678118654757</v>
      </c>
      <c r="O33">
        <f t="shared" si="38"/>
        <v>0.70710678118654757</v>
      </c>
      <c r="P33" t="str">
        <f t="shared" si="39"/>
        <v>C</v>
      </c>
      <c r="Q33">
        <f t="shared" si="40"/>
        <v>0</v>
      </c>
      <c r="S33">
        <f t="shared" si="41"/>
        <v>-1</v>
      </c>
      <c r="T33">
        <f t="shared" si="28"/>
        <v>-1</v>
      </c>
      <c r="U33">
        <f t="shared" si="28"/>
        <v>-1</v>
      </c>
      <c r="V33">
        <f t="shared" si="28"/>
        <v>-1</v>
      </c>
      <c r="W33">
        <f t="shared" si="28"/>
        <v>5</v>
      </c>
      <c r="X33">
        <f t="shared" si="28"/>
        <v>1</v>
      </c>
      <c r="Y33">
        <v>-1</v>
      </c>
      <c r="Z33">
        <v>-1</v>
      </c>
      <c r="AA33">
        <v>-1</v>
      </c>
      <c r="AB33">
        <v>-1</v>
      </c>
      <c r="AC33">
        <v>-1</v>
      </c>
      <c r="AD33">
        <v>-1</v>
      </c>
    </row>
    <row r="34" spans="1:30">
      <c r="D34">
        <f t="shared" ref="D34:I34" si="42">AVERAGE(D25:D33)</f>
        <v>2.75</v>
      </c>
      <c r="E34">
        <f t="shared" si="42"/>
        <v>4</v>
      </c>
      <c r="F34">
        <f t="shared" si="42"/>
        <v>1.6666666666666667</v>
      </c>
      <c r="G34">
        <f t="shared" si="42"/>
        <v>1.6666666666666667</v>
      </c>
      <c r="H34">
        <f t="shared" si="42"/>
        <v>4.5</v>
      </c>
      <c r="I34">
        <f t="shared" si="42"/>
        <v>1.5</v>
      </c>
      <c r="Q34">
        <f>SUM(Q25:Q33)</f>
        <v>0</v>
      </c>
    </row>
    <row r="36" spans="1:30">
      <c r="A36">
        <f ca="1">RANDBETWEEN(1,5)</f>
        <v>1</v>
      </c>
      <c r="B36">
        <f ca="1">RANDBETWEEN(1,5)</f>
        <v>5</v>
      </c>
      <c r="P36">
        <v>4</v>
      </c>
      <c r="Q36">
        <v>4</v>
      </c>
      <c r="R36" t="s">
        <v>0</v>
      </c>
      <c r="S36" t="s">
        <v>0</v>
      </c>
      <c r="U36">
        <v>4</v>
      </c>
      <c r="V36">
        <v>4</v>
      </c>
      <c r="W36" t="s">
        <v>0</v>
      </c>
    </row>
    <row r="37" spans="1:30">
      <c r="A37">
        <f t="shared" ref="A37:B44" ca="1" si="43">RANDBETWEEN(1,5)</f>
        <v>1</v>
      </c>
      <c r="B37">
        <f t="shared" ca="1" si="43"/>
        <v>3</v>
      </c>
      <c r="P37">
        <v>1</v>
      </c>
      <c r="Q37">
        <v>5</v>
      </c>
      <c r="R37" t="s">
        <v>1</v>
      </c>
      <c r="S37" t="s">
        <v>0</v>
      </c>
      <c r="U37">
        <v>2</v>
      </c>
      <c r="V37">
        <v>2</v>
      </c>
      <c r="W37" t="s">
        <v>3</v>
      </c>
    </row>
    <row r="38" spans="1:30">
      <c r="A38">
        <f t="shared" ca="1" si="43"/>
        <v>3</v>
      </c>
      <c r="B38">
        <f t="shared" ca="1" si="43"/>
        <v>4</v>
      </c>
      <c r="P38">
        <v>3</v>
      </c>
      <c r="Q38">
        <v>3</v>
      </c>
      <c r="R38" t="s">
        <v>1</v>
      </c>
      <c r="S38" t="s">
        <v>0</v>
      </c>
      <c r="U38">
        <v>5</v>
      </c>
      <c r="V38">
        <v>1</v>
      </c>
      <c r="W38" t="s">
        <v>5</v>
      </c>
    </row>
    <row r="39" spans="1:30">
      <c r="A39">
        <f t="shared" ca="1" si="43"/>
        <v>1</v>
      </c>
      <c r="B39">
        <f t="shared" ca="1" si="43"/>
        <v>2</v>
      </c>
      <c r="P39">
        <v>4</v>
      </c>
      <c r="Q39">
        <v>4</v>
      </c>
      <c r="R39" t="s">
        <v>3</v>
      </c>
      <c r="S39" t="s">
        <v>0</v>
      </c>
      <c r="U39">
        <v>1</v>
      </c>
      <c r="V39">
        <v>5</v>
      </c>
      <c r="W39" t="s">
        <v>1</v>
      </c>
    </row>
    <row r="40" spans="1:30">
      <c r="A40">
        <f t="shared" ca="1" si="43"/>
        <v>2</v>
      </c>
      <c r="B40">
        <f t="shared" ca="1" si="43"/>
        <v>5</v>
      </c>
      <c r="P40">
        <v>2</v>
      </c>
      <c r="Q40">
        <v>1</v>
      </c>
      <c r="R40" t="s">
        <v>3</v>
      </c>
      <c r="S40" t="s">
        <v>2</v>
      </c>
      <c r="U40">
        <v>2</v>
      </c>
      <c r="V40">
        <v>1</v>
      </c>
      <c r="W40" t="s">
        <v>3</v>
      </c>
    </row>
    <row r="41" spans="1:30">
      <c r="A41">
        <f t="shared" ca="1" si="43"/>
        <v>4</v>
      </c>
      <c r="B41">
        <f t="shared" ca="1" si="43"/>
        <v>1</v>
      </c>
      <c r="P41">
        <v>2</v>
      </c>
      <c r="Q41">
        <v>2</v>
      </c>
      <c r="R41" t="s">
        <v>3</v>
      </c>
      <c r="S41" t="s">
        <v>2</v>
      </c>
      <c r="U41">
        <v>4</v>
      </c>
      <c r="V41">
        <v>2</v>
      </c>
      <c r="W41" t="s">
        <v>5</v>
      </c>
    </row>
    <row r="42" spans="1:30">
      <c r="A42">
        <f t="shared" ca="1" si="43"/>
        <v>5</v>
      </c>
      <c r="B42">
        <f t="shared" ca="1" si="43"/>
        <v>1</v>
      </c>
      <c r="P42">
        <v>1</v>
      </c>
      <c r="Q42">
        <v>2</v>
      </c>
      <c r="R42" t="s">
        <v>4</v>
      </c>
      <c r="S42" t="s">
        <v>2</v>
      </c>
      <c r="U42">
        <v>3</v>
      </c>
      <c r="V42">
        <v>3</v>
      </c>
      <c r="W42" t="s">
        <v>1</v>
      </c>
    </row>
    <row r="43" spans="1:30">
      <c r="A43">
        <f t="shared" ca="1" si="43"/>
        <v>4</v>
      </c>
      <c r="B43">
        <f t="shared" ca="1" si="43"/>
        <v>4</v>
      </c>
      <c r="P43">
        <v>4</v>
      </c>
      <c r="Q43">
        <v>2</v>
      </c>
      <c r="R43" t="s">
        <v>5</v>
      </c>
      <c r="S43" t="s">
        <v>4</v>
      </c>
      <c r="U43">
        <v>4</v>
      </c>
      <c r="V43">
        <v>4</v>
      </c>
      <c r="W43" t="s">
        <v>3</v>
      </c>
    </row>
    <row r="44" spans="1:30">
      <c r="A44">
        <f t="shared" ca="1" si="43"/>
        <v>4</v>
      </c>
      <c r="B44">
        <f t="shared" ca="1" si="43"/>
        <v>3</v>
      </c>
      <c r="P44">
        <v>5</v>
      </c>
      <c r="Q44">
        <v>1</v>
      </c>
      <c r="R44" t="s">
        <v>5</v>
      </c>
      <c r="S44" t="s">
        <v>4</v>
      </c>
      <c r="U44">
        <v>1</v>
      </c>
      <c r="V44">
        <v>2</v>
      </c>
      <c r="W44" t="s">
        <v>4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6598A-CA43-43B2-8B3C-D1199FA8FC45}">
  <dimension ref="A1:BH44"/>
  <sheetViews>
    <sheetView zoomScale="85" zoomScaleNormal="85" workbookViewId="0">
      <selection activeCell="C3" sqref="C3"/>
    </sheetView>
  </sheetViews>
  <sheetFormatPr defaultRowHeight="18"/>
  <cols>
    <col min="4" max="11" width="8.6640625" customWidth="1"/>
    <col min="26" max="61" width="3" customWidth="1"/>
    <col min="62" max="89" width="3.08203125" customWidth="1"/>
  </cols>
  <sheetData>
    <row r="1" spans="1:60">
      <c r="A1">
        <v>5</v>
      </c>
      <c r="B1">
        <v>2</v>
      </c>
      <c r="C1" t="s">
        <v>1</v>
      </c>
      <c r="D1">
        <f>IF($C1="A",A1,"")</f>
        <v>5</v>
      </c>
      <c r="E1">
        <f>IF($C1="A",B1,"")</f>
        <v>2</v>
      </c>
      <c r="F1" t="str">
        <f>IF($C1="B",A1,"")</f>
        <v/>
      </c>
      <c r="G1" t="str">
        <f>IF($C1="B",B1,"")</f>
        <v/>
      </c>
      <c r="H1">
        <f>D10</f>
        <v>3.8</v>
      </c>
      <c r="I1">
        <f>E10</f>
        <v>2.6</v>
      </c>
      <c r="J1">
        <f t="shared" ref="J1:J9" si="0">SQRT((A1-D$10)^2+(B1-E$10)^2)</f>
        <v>1.3416407864998741</v>
      </c>
      <c r="K1">
        <f t="shared" ref="K1:K9" si="1">SQRT((A1-F$10)^2+(B1-G$10)^2)</f>
        <v>2.462214450449026</v>
      </c>
      <c r="L1" t="str">
        <f>IF(J1&lt;K1,"A","B")</f>
        <v>A</v>
      </c>
      <c r="M1">
        <f t="shared" ref="M1:M9" si="2">IF(C1=L1,0,1)</f>
        <v>0</v>
      </c>
      <c r="O1">
        <f t="shared" ref="O1:O9" si="3">IF(D1&lt;&gt;"",D1,-1)</f>
        <v>5</v>
      </c>
      <c r="P1">
        <f t="shared" ref="P1:P9" si="4">IF(E1&lt;&gt;"",E1,-1)</f>
        <v>2</v>
      </c>
      <c r="Q1">
        <f t="shared" ref="Q1:Q9" si="5">IF(F1&lt;&gt;"",F1,-1)</f>
        <v>-1</v>
      </c>
      <c r="R1">
        <f t="shared" ref="R1:R9" si="6">IF(G1&lt;&gt;"",G1,-1)</f>
        <v>-1</v>
      </c>
      <c r="S1">
        <f>D10</f>
        <v>3.8</v>
      </c>
      <c r="T1">
        <f>E10</f>
        <v>2.6</v>
      </c>
      <c r="U1">
        <f>F10</f>
        <v>2.75</v>
      </c>
      <c r="V1">
        <f>G10</f>
        <v>3</v>
      </c>
    </row>
    <row r="2" spans="1:60">
      <c r="A2">
        <v>3</v>
      </c>
      <c r="B2">
        <v>1</v>
      </c>
      <c r="C2" t="s">
        <v>1</v>
      </c>
      <c r="D2">
        <f t="shared" ref="D2:E9" si="7">IF($C2="A",A2,"")</f>
        <v>3</v>
      </c>
      <c r="E2">
        <f t="shared" si="7"/>
        <v>1</v>
      </c>
      <c r="F2" t="str">
        <f t="shared" ref="F2:G9" si="8">IF($C2="B",A2,"")</f>
        <v/>
      </c>
      <c r="G2" t="str">
        <f t="shared" si="8"/>
        <v/>
      </c>
      <c r="H2">
        <f>F10</f>
        <v>2.75</v>
      </c>
      <c r="I2">
        <f>G10</f>
        <v>3</v>
      </c>
      <c r="J2">
        <f t="shared" si="0"/>
        <v>1.7888543819998317</v>
      </c>
      <c r="K2">
        <f t="shared" si="1"/>
        <v>2.0155644370746373</v>
      </c>
      <c r="L2" t="str">
        <f t="shared" ref="L2:L9" si="9">IF(J2&lt;K2,"A","B")</f>
        <v>A</v>
      </c>
      <c r="M2">
        <f t="shared" si="2"/>
        <v>0</v>
      </c>
      <c r="O2">
        <f t="shared" si="3"/>
        <v>3</v>
      </c>
      <c r="P2">
        <f t="shared" si="4"/>
        <v>1</v>
      </c>
      <c r="Q2">
        <f t="shared" si="5"/>
        <v>-1</v>
      </c>
      <c r="R2">
        <f t="shared" si="6"/>
        <v>-1</v>
      </c>
      <c r="S2">
        <v>-1</v>
      </c>
      <c r="T2">
        <v>-1</v>
      </c>
      <c r="U2">
        <v>-1</v>
      </c>
      <c r="V2">
        <v>-1</v>
      </c>
      <c r="AZ2" s="1"/>
    </row>
    <row r="3" spans="1:60">
      <c r="A3">
        <v>1</v>
      </c>
      <c r="B3">
        <v>1</v>
      </c>
      <c r="C3" t="s">
        <v>1</v>
      </c>
      <c r="D3">
        <f t="shared" si="7"/>
        <v>1</v>
      </c>
      <c r="E3">
        <f t="shared" si="7"/>
        <v>1</v>
      </c>
      <c r="F3" t="str">
        <f t="shared" si="8"/>
        <v/>
      </c>
      <c r="G3" t="str">
        <f t="shared" si="8"/>
        <v/>
      </c>
      <c r="J3">
        <f t="shared" si="0"/>
        <v>3.2249030993194197</v>
      </c>
      <c r="K3">
        <f t="shared" si="1"/>
        <v>2.6575364531836625</v>
      </c>
      <c r="L3" t="str">
        <f t="shared" si="9"/>
        <v>B</v>
      </c>
      <c r="M3">
        <f t="shared" si="2"/>
        <v>1</v>
      </c>
      <c r="O3">
        <f t="shared" si="3"/>
        <v>1</v>
      </c>
      <c r="P3">
        <f t="shared" si="4"/>
        <v>1</v>
      </c>
      <c r="Q3">
        <f t="shared" si="5"/>
        <v>-1</v>
      </c>
      <c r="R3">
        <f t="shared" si="6"/>
        <v>-1</v>
      </c>
      <c r="S3">
        <v>-1</v>
      </c>
      <c r="T3">
        <v>-1</v>
      </c>
      <c r="U3">
        <v>-1</v>
      </c>
      <c r="V3">
        <v>-1</v>
      </c>
      <c r="AZ3" s="1"/>
    </row>
    <row r="4" spans="1:60">
      <c r="A4">
        <v>5</v>
      </c>
      <c r="B4">
        <v>4</v>
      </c>
      <c r="C4" t="s">
        <v>1</v>
      </c>
      <c r="D4">
        <f t="shared" si="7"/>
        <v>5</v>
      </c>
      <c r="E4">
        <f t="shared" si="7"/>
        <v>4</v>
      </c>
      <c r="F4" t="str">
        <f t="shared" si="8"/>
        <v/>
      </c>
      <c r="G4" t="str">
        <f t="shared" si="8"/>
        <v/>
      </c>
      <c r="J4">
        <f t="shared" si="0"/>
        <v>1.8439088914585775</v>
      </c>
      <c r="K4">
        <f t="shared" si="1"/>
        <v>2.462214450449026</v>
      </c>
      <c r="L4" t="str">
        <f t="shared" si="9"/>
        <v>A</v>
      </c>
      <c r="M4">
        <f t="shared" si="2"/>
        <v>0</v>
      </c>
      <c r="O4">
        <f t="shared" si="3"/>
        <v>5</v>
      </c>
      <c r="P4">
        <f t="shared" si="4"/>
        <v>4</v>
      </c>
      <c r="Q4">
        <f t="shared" si="5"/>
        <v>-1</v>
      </c>
      <c r="R4">
        <f t="shared" si="6"/>
        <v>-1</v>
      </c>
      <c r="S4">
        <v>-1</v>
      </c>
      <c r="T4">
        <v>-1</v>
      </c>
      <c r="U4">
        <v>-1</v>
      </c>
      <c r="V4">
        <v>-1</v>
      </c>
      <c r="AZ4" s="1"/>
    </row>
    <row r="5" spans="1:60">
      <c r="A5">
        <v>5</v>
      </c>
      <c r="B5">
        <v>5</v>
      </c>
      <c r="C5" t="s">
        <v>1</v>
      </c>
      <c r="D5">
        <f t="shared" si="7"/>
        <v>5</v>
      </c>
      <c r="E5">
        <f t="shared" si="7"/>
        <v>5</v>
      </c>
      <c r="F5" t="str">
        <f t="shared" si="8"/>
        <v/>
      </c>
      <c r="G5" t="str">
        <f t="shared" si="8"/>
        <v/>
      </c>
      <c r="J5">
        <f t="shared" si="0"/>
        <v>2.6832815729997477</v>
      </c>
      <c r="K5">
        <f t="shared" si="1"/>
        <v>3.0103986446980739</v>
      </c>
      <c r="L5" t="str">
        <f t="shared" si="9"/>
        <v>A</v>
      </c>
      <c r="M5">
        <f t="shared" si="2"/>
        <v>0</v>
      </c>
      <c r="O5">
        <f t="shared" si="3"/>
        <v>5</v>
      </c>
      <c r="P5">
        <f t="shared" si="4"/>
        <v>5</v>
      </c>
      <c r="Q5">
        <f t="shared" si="5"/>
        <v>-1</v>
      </c>
      <c r="R5">
        <f t="shared" si="6"/>
        <v>-1</v>
      </c>
      <c r="S5">
        <v>-1</v>
      </c>
      <c r="T5">
        <v>-1</v>
      </c>
      <c r="U5">
        <v>-1</v>
      </c>
      <c r="V5">
        <v>-1</v>
      </c>
      <c r="AZ5" s="1"/>
    </row>
    <row r="6" spans="1:60">
      <c r="A6">
        <v>3</v>
      </c>
      <c r="B6">
        <v>4</v>
      </c>
      <c r="C6" t="s">
        <v>3</v>
      </c>
      <c r="D6" t="str">
        <f t="shared" si="7"/>
        <v/>
      </c>
      <c r="E6" t="str">
        <f t="shared" si="7"/>
        <v/>
      </c>
      <c r="F6">
        <f t="shared" si="8"/>
        <v>3</v>
      </c>
      <c r="G6">
        <f t="shared" si="8"/>
        <v>4</v>
      </c>
      <c r="J6">
        <f t="shared" si="0"/>
        <v>1.6124515496597098</v>
      </c>
      <c r="K6">
        <f t="shared" si="1"/>
        <v>1.0307764064044151</v>
      </c>
      <c r="L6" t="str">
        <f t="shared" si="9"/>
        <v>B</v>
      </c>
      <c r="M6">
        <f t="shared" si="2"/>
        <v>0</v>
      </c>
      <c r="O6">
        <f t="shared" si="3"/>
        <v>-1</v>
      </c>
      <c r="P6">
        <f t="shared" si="4"/>
        <v>-1</v>
      </c>
      <c r="Q6">
        <f t="shared" si="5"/>
        <v>3</v>
      </c>
      <c r="R6">
        <f t="shared" si="6"/>
        <v>4</v>
      </c>
      <c r="S6">
        <v>-1</v>
      </c>
      <c r="T6">
        <v>-1</v>
      </c>
      <c r="U6">
        <v>-1</v>
      </c>
      <c r="V6">
        <v>-1</v>
      </c>
      <c r="AZ6" s="1"/>
    </row>
    <row r="7" spans="1:60">
      <c r="A7">
        <v>4</v>
      </c>
      <c r="B7">
        <v>4</v>
      </c>
      <c r="C7" t="s">
        <v>3</v>
      </c>
      <c r="D7" t="str">
        <f t="shared" si="7"/>
        <v/>
      </c>
      <c r="E7" t="str">
        <f t="shared" si="7"/>
        <v/>
      </c>
      <c r="F7">
        <f t="shared" si="8"/>
        <v>4</v>
      </c>
      <c r="G7">
        <f t="shared" si="8"/>
        <v>4</v>
      </c>
      <c r="J7">
        <f t="shared" si="0"/>
        <v>1.4142135623730949</v>
      </c>
      <c r="K7">
        <f t="shared" si="1"/>
        <v>1.6007810593582121</v>
      </c>
      <c r="L7" t="str">
        <f t="shared" si="9"/>
        <v>A</v>
      </c>
      <c r="M7">
        <f t="shared" si="2"/>
        <v>1</v>
      </c>
      <c r="O7">
        <f t="shared" si="3"/>
        <v>-1</v>
      </c>
      <c r="P7">
        <f t="shared" si="4"/>
        <v>-1</v>
      </c>
      <c r="Q7">
        <f t="shared" si="5"/>
        <v>4</v>
      </c>
      <c r="R7">
        <f t="shared" si="6"/>
        <v>4</v>
      </c>
      <c r="S7">
        <v>-1</v>
      </c>
      <c r="T7">
        <v>-1</v>
      </c>
      <c r="U7">
        <v>-1</v>
      </c>
      <c r="V7">
        <v>-1</v>
      </c>
      <c r="AZ7" s="1"/>
    </row>
    <row r="8" spans="1:60">
      <c r="A8">
        <v>2</v>
      </c>
      <c r="B8">
        <v>3</v>
      </c>
      <c r="C8" t="s">
        <v>3</v>
      </c>
      <c r="D8" t="str">
        <f t="shared" si="7"/>
        <v/>
      </c>
      <c r="E8" t="str">
        <f t="shared" si="7"/>
        <v/>
      </c>
      <c r="F8">
        <f t="shared" si="8"/>
        <v>2</v>
      </c>
      <c r="G8">
        <f t="shared" si="8"/>
        <v>3</v>
      </c>
      <c r="J8">
        <f t="shared" si="0"/>
        <v>1.8439088914585773</v>
      </c>
      <c r="K8">
        <f t="shared" si="1"/>
        <v>0.75</v>
      </c>
      <c r="L8" t="str">
        <f t="shared" si="9"/>
        <v>B</v>
      </c>
      <c r="M8">
        <f t="shared" si="2"/>
        <v>0</v>
      </c>
      <c r="O8">
        <f t="shared" si="3"/>
        <v>-1</v>
      </c>
      <c r="P8">
        <f t="shared" si="4"/>
        <v>-1</v>
      </c>
      <c r="Q8">
        <f t="shared" si="5"/>
        <v>2</v>
      </c>
      <c r="R8">
        <f t="shared" si="6"/>
        <v>3</v>
      </c>
      <c r="S8">
        <v>-1</v>
      </c>
      <c r="T8">
        <v>-1</v>
      </c>
      <c r="U8">
        <v>-1</v>
      </c>
      <c r="V8">
        <v>-1</v>
      </c>
      <c r="AZ8" s="1"/>
    </row>
    <row r="9" spans="1:60">
      <c r="A9">
        <v>2</v>
      </c>
      <c r="B9">
        <v>1</v>
      </c>
      <c r="C9" t="s">
        <v>3</v>
      </c>
      <c r="D9" t="str">
        <f t="shared" si="7"/>
        <v/>
      </c>
      <c r="E9" t="str">
        <f t="shared" si="7"/>
        <v/>
      </c>
      <c r="F9">
        <f t="shared" si="8"/>
        <v>2</v>
      </c>
      <c r="G9">
        <f t="shared" si="8"/>
        <v>1</v>
      </c>
      <c r="J9">
        <f t="shared" si="0"/>
        <v>2.4083189157584592</v>
      </c>
      <c r="K9">
        <f t="shared" si="1"/>
        <v>2.1360009363293826</v>
      </c>
      <c r="L9" t="str">
        <f t="shared" si="9"/>
        <v>B</v>
      </c>
      <c r="M9">
        <f t="shared" si="2"/>
        <v>0</v>
      </c>
      <c r="O9">
        <f t="shared" si="3"/>
        <v>-1</v>
      </c>
      <c r="P9">
        <f t="shared" si="4"/>
        <v>-1</v>
      </c>
      <c r="Q9">
        <f t="shared" si="5"/>
        <v>2</v>
      </c>
      <c r="R9">
        <f t="shared" si="6"/>
        <v>1</v>
      </c>
      <c r="S9">
        <v>-1</v>
      </c>
      <c r="T9">
        <v>-1</v>
      </c>
      <c r="U9">
        <v>-1</v>
      </c>
      <c r="V9">
        <v>-1</v>
      </c>
      <c r="AZ9" s="1"/>
    </row>
    <row r="10" spans="1:60">
      <c r="D10">
        <f>AVERAGE(D1:D9)</f>
        <v>3.8</v>
      </c>
      <c r="E10">
        <f>AVERAGE(E1:E9)</f>
        <v>2.6</v>
      </c>
      <c r="F10">
        <f>AVERAGE(F1:F9)</f>
        <v>2.75</v>
      </c>
      <c r="G10">
        <f>AVERAGE(G1:G9)</f>
        <v>3</v>
      </c>
      <c r="M10">
        <f>SUM(M1:M9)</f>
        <v>2</v>
      </c>
      <c r="AZ10" s="1"/>
    </row>
    <row r="11" spans="1:60">
      <c r="AZ11" s="1"/>
    </row>
    <row r="12" spans="1:60">
      <c r="AZ12" s="1"/>
      <c r="BH12" t="s">
        <v>6</v>
      </c>
    </row>
    <row r="13" spans="1:60">
      <c r="A13">
        <f>A1</f>
        <v>5</v>
      </c>
      <c r="B13">
        <f>B1</f>
        <v>2</v>
      </c>
      <c r="C13" t="str">
        <f>L1</f>
        <v>A</v>
      </c>
      <c r="D13">
        <f>IF($C13="A",A13,"")</f>
        <v>5</v>
      </c>
      <c r="E13">
        <f>IF($C13="A",B13,"")</f>
        <v>2</v>
      </c>
      <c r="F13" t="str">
        <f>IF($C13="B",A13,"")</f>
        <v/>
      </c>
      <c r="G13" t="str">
        <f>IF($C13="B",B13,"")</f>
        <v/>
      </c>
      <c r="H13">
        <f>D22</f>
        <v>4.4000000000000004</v>
      </c>
      <c r="I13">
        <f>E22</f>
        <v>3.2</v>
      </c>
      <c r="J13">
        <f t="shared" ref="J13:J21" si="10">SQRT((A13-D$22)^2+(B13-E$22)^2)</f>
        <v>1.3416407864998738</v>
      </c>
      <c r="K13">
        <f t="shared" ref="K13:K21" si="11">SQRT((A13-F$22)^2+(B13-G$22)^2)</f>
        <v>3.0103986446980739</v>
      </c>
      <c r="L13" t="str">
        <f>IF(J13&lt;K13,"A","B")</f>
        <v>A</v>
      </c>
      <c r="M13">
        <f t="shared" ref="M13:M21" si="12">IF(C13=L13,0,1)</f>
        <v>0</v>
      </c>
      <c r="O13">
        <f t="shared" ref="O13:O21" si="13">IF(D13&lt;&gt;"",D13,-1)</f>
        <v>5</v>
      </c>
      <c r="P13">
        <f t="shared" ref="P13:P21" si="14">IF(E13&lt;&gt;"",E13,-1)</f>
        <v>2</v>
      </c>
      <c r="Q13">
        <f t="shared" ref="Q13:Q21" si="15">IF(F13&lt;&gt;"",F13,-1)</f>
        <v>-1</v>
      </c>
      <c r="R13">
        <f t="shared" ref="R13:R21" si="16">IF(G13&lt;&gt;"",G13,-1)</f>
        <v>-1</v>
      </c>
      <c r="S13">
        <f>D22</f>
        <v>4.4000000000000004</v>
      </c>
      <c r="T13">
        <f>E22</f>
        <v>3.2</v>
      </c>
      <c r="U13">
        <f>F22</f>
        <v>2</v>
      </c>
      <c r="V13">
        <f>G22</f>
        <v>2.25</v>
      </c>
      <c r="AZ13" s="1"/>
    </row>
    <row r="14" spans="1:60">
      <c r="A14">
        <f t="shared" ref="A14:B21" si="17">A2</f>
        <v>3</v>
      </c>
      <c r="B14">
        <f t="shared" si="17"/>
        <v>1</v>
      </c>
      <c r="C14" t="str">
        <f t="shared" ref="C14:C21" si="18">L2</f>
        <v>A</v>
      </c>
      <c r="D14">
        <f t="shared" ref="D14:E21" si="19">IF($C14="A",A14,"")</f>
        <v>3</v>
      </c>
      <c r="E14">
        <f t="shared" si="19"/>
        <v>1</v>
      </c>
      <c r="F14" t="str">
        <f t="shared" ref="F14:G21" si="20">IF($C14="B",A14,"")</f>
        <v/>
      </c>
      <c r="G14" t="str">
        <f t="shared" si="20"/>
        <v/>
      </c>
      <c r="H14">
        <f>F22</f>
        <v>2</v>
      </c>
      <c r="I14">
        <f>G22</f>
        <v>2.25</v>
      </c>
      <c r="J14">
        <f t="shared" si="10"/>
        <v>2.6076809620810599</v>
      </c>
      <c r="K14">
        <f t="shared" si="11"/>
        <v>1.6007810593582121</v>
      </c>
      <c r="L14" t="str">
        <f t="shared" ref="L14:L21" si="21">IF(J14&lt;K14,"A","B")</f>
        <v>B</v>
      </c>
      <c r="M14">
        <f t="shared" si="12"/>
        <v>1</v>
      </c>
      <c r="O14">
        <f t="shared" si="13"/>
        <v>3</v>
      </c>
      <c r="P14">
        <f t="shared" si="14"/>
        <v>1</v>
      </c>
      <c r="Q14">
        <f t="shared" si="15"/>
        <v>-1</v>
      </c>
      <c r="R14">
        <f t="shared" si="16"/>
        <v>-1</v>
      </c>
      <c r="S14">
        <v>-1</v>
      </c>
      <c r="T14">
        <v>-1</v>
      </c>
      <c r="U14">
        <v>-1</v>
      </c>
      <c r="V14">
        <v>-1</v>
      </c>
      <c r="AZ14" s="1"/>
    </row>
    <row r="15" spans="1:60">
      <c r="A15">
        <f t="shared" si="17"/>
        <v>1</v>
      </c>
      <c r="B15">
        <f t="shared" si="17"/>
        <v>1</v>
      </c>
      <c r="C15" t="str">
        <f t="shared" si="18"/>
        <v>B</v>
      </c>
      <c r="D15" t="str">
        <f t="shared" si="19"/>
        <v/>
      </c>
      <c r="E15" t="str">
        <f t="shared" si="19"/>
        <v/>
      </c>
      <c r="F15">
        <f t="shared" si="20"/>
        <v>1</v>
      </c>
      <c r="G15">
        <f t="shared" si="20"/>
        <v>1</v>
      </c>
      <c r="J15">
        <f t="shared" si="10"/>
        <v>4.0496913462633177</v>
      </c>
      <c r="K15">
        <f t="shared" si="11"/>
        <v>1.6007810593582121</v>
      </c>
      <c r="L15" t="str">
        <f t="shared" si="21"/>
        <v>B</v>
      </c>
      <c r="M15">
        <f t="shared" si="12"/>
        <v>0</v>
      </c>
      <c r="O15">
        <f t="shared" si="13"/>
        <v>-1</v>
      </c>
      <c r="P15">
        <f t="shared" si="14"/>
        <v>-1</v>
      </c>
      <c r="Q15">
        <f t="shared" si="15"/>
        <v>1</v>
      </c>
      <c r="R15">
        <f t="shared" si="16"/>
        <v>1</v>
      </c>
      <c r="S15">
        <v>-1</v>
      </c>
      <c r="T15">
        <v>-1</v>
      </c>
      <c r="U15">
        <v>-1</v>
      </c>
      <c r="V15">
        <v>-1</v>
      </c>
      <c r="AZ15" s="1"/>
    </row>
    <row r="16" spans="1:60">
      <c r="A16">
        <f t="shared" si="17"/>
        <v>5</v>
      </c>
      <c r="B16">
        <f t="shared" si="17"/>
        <v>4</v>
      </c>
      <c r="C16" t="str">
        <f t="shared" si="18"/>
        <v>A</v>
      </c>
      <c r="D16">
        <f t="shared" si="19"/>
        <v>5</v>
      </c>
      <c r="E16">
        <f t="shared" si="19"/>
        <v>4</v>
      </c>
      <c r="F16" t="str">
        <f t="shared" si="20"/>
        <v/>
      </c>
      <c r="G16" t="str">
        <f t="shared" si="20"/>
        <v/>
      </c>
      <c r="J16">
        <f t="shared" si="10"/>
        <v>0.99999999999999967</v>
      </c>
      <c r="K16">
        <f t="shared" si="11"/>
        <v>3.473110997362451</v>
      </c>
      <c r="L16" t="str">
        <f t="shared" si="21"/>
        <v>A</v>
      </c>
      <c r="M16">
        <f t="shared" si="12"/>
        <v>0</v>
      </c>
      <c r="O16">
        <f t="shared" si="13"/>
        <v>5</v>
      </c>
      <c r="P16">
        <f t="shared" si="14"/>
        <v>4</v>
      </c>
      <c r="Q16">
        <f t="shared" si="15"/>
        <v>-1</v>
      </c>
      <c r="R16">
        <f t="shared" si="16"/>
        <v>-1</v>
      </c>
      <c r="S16">
        <v>-1</v>
      </c>
      <c r="T16">
        <v>-1</v>
      </c>
      <c r="U16">
        <v>-1</v>
      </c>
      <c r="V16">
        <v>-1</v>
      </c>
      <c r="AZ16" s="1"/>
    </row>
    <row r="17" spans="1:52">
      <c r="A17">
        <f t="shared" si="17"/>
        <v>5</v>
      </c>
      <c r="B17">
        <f t="shared" si="17"/>
        <v>5</v>
      </c>
      <c r="C17" t="str">
        <f t="shared" si="18"/>
        <v>A</v>
      </c>
      <c r="D17">
        <f t="shared" si="19"/>
        <v>5</v>
      </c>
      <c r="E17">
        <f t="shared" si="19"/>
        <v>5</v>
      </c>
      <c r="F17" t="str">
        <f t="shared" si="20"/>
        <v/>
      </c>
      <c r="G17" t="str">
        <f t="shared" si="20"/>
        <v/>
      </c>
      <c r="J17">
        <f t="shared" si="10"/>
        <v>1.8973665961010273</v>
      </c>
      <c r="K17">
        <f t="shared" si="11"/>
        <v>4.0697051490249265</v>
      </c>
      <c r="L17" t="str">
        <f t="shared" si="21"/>
        <v>A</v>
      </c>
      <c r="M17">
        <f t="shared" si="12"/>
        <v>0</v>
      </c>
      <c r="O17">
        <f t="shared" si="13"/>
        <v>5</v>
      </c>
      <c r="P17">
        <f t="shared" si="14"/>
        <v>5</v>
      </c>
      <c r="Q17">
        <f t="shared" si="15"/>
        <v>-1</v>
      </c>
      <c r="R17">
        <f t="shared" si="16"/>
        <v>-1</v>
      </c>
      <c r="S17">
        <v>-1</v>
      </c>
      <c r="T17">
        <v>-1</v>
      </c>
      <c r="U17">
        <v>-1</v>
      </c>
      <c r="V17">
        <v>-1</v>
      </c>
    </row>
    <row r="18" spans="1:52">
      <c r="A18">
        <f t="shared" si="17"/>
        <v>3</v>
      </c>
      <c r="B18">
        <f t="shared" si="17"/>
        <v>4</v>
      </c>
      <c r="C18" t="str">
        <f t="shared" si="18"/>
        <v>B</v>
      </c>
      <c r="D18" t="str">
        <f t="shared" si="19"/>
        <v/>
      </c>
      <c r="E18" t="str">
        <f t="shared" si="19"/>
        <v/>
      </c>
      <c r="F18">
        <f t="shared" si="20"/>
        <v>3</v>
      </c>
      <c r="G18">
        <f t="shared" si="20"/>
        <v>4</v>
      </c>
      <c r="J18">
        <f t="shared" si="10"/>
        <v>1.61245154965971</v>
      </c>
      <c r="K18">
        <f t="shared" si="11"/>
        <v>2.0155644370746373</v>
      </c>
      <c r="L18" t="str">
        <f t="shared" si="21"/>
        <v>A</v>
      </c>
      <c r="M18">
        <f t="shared" si="12"/>
        <v>1</v>
      </c>
      <c r="O18">
        <f t="shared" si="13"/>
        <v>-1</v>
      </c>
      <c r="P18">
        <f t="shared" si="14"/>
        <v>-1</v>
      </c>
      <c r="Q18">
        <f t="shared" si="15"/>
        <v>3</v>
      </c>
      <c r="R18">
        <f t="shared" si="16"/>
        <v>4</v>
      </c>
      <c r="S18">
        <v>-1</v>
      </c>
      <c r="T18">
        <v>-1</v>
      </c>
      <c r="U18">
        <v>-1</v>
      </c>
      <c r="V18">
        <v>-1</v>
      </c>
    </row>
    <row r="19" spans="1:52">
      <c r="A19">
        <f t="shared" si="17"/>
        <v>4</v>
      </c>
      <c r="B19">
        <f t="shared" si="17"/>
        <v>4</v>
      </c>
      <c r="C19" t="str">
        <f t="shared" si="18"/>
        <v>A</v>
      </c>
      <c r="D19">
        <f t="shared" si="19"/>
        <v>4</v>
      </c>
      <c r="E19">
        <f t="shared" si="19"/>
        <v>4</v>
      </c>
      <c r="F19" t="str">
        <f t="shared" si="20"/>
        <v/>
      </c>
      <c r="G19" t="str">
        <f t="shared" si="20"/>
        <v/>
      </c>
      <c r="J19">
        <f t="shared" si="10"/>
        <v>0.89442719099991586</v>
      </c>
      <c r="K19">
        <f t="shared" si="11"/>
        <v>2.6575364531836625</v>
      </c>
      <c r="L19" t="str">
        <f t="shared" si="21"/>
        <v>A</v>
      </c>
      <c r="M19">
        <f t="shared" si="12"/>
        <v>0</v>
      </c>
      <c r="O19">
        <f t="shared" si="13"/>
        <v>4</v>
      </c>
      <c r="P19">
        <f t="shared" si="14"/>
        <v>4</v>
      </c>
      <c r="Q19">
        <f t="shared" si="15"/>
        <v>-1</v>
      </c>
      <c r="R19">
        <f t="shared" si="16"/>
        <v>-1</v>
      </c>
      <c r="S19">
        <v>-1</v>
      </c>
      <c r="T19">
        <v>-1</v>
      </c>
      <c r="U19">
        <v>-1</v>
      </c>
      <c r="V19">
        <v>-1</v>
      </c>
    </row>
    <row r="20" spans="1:52">
      <c r="A20">
        <f t="shared" si="17"/>
        <v>2</v>
      </c>
      <c r="B20">
        <f t="shared" si="17"/>
        <v>3</v>
      </c>
      <c r="C20" t="str">
        <f t="shared" si="18"/>
        <v>B</v>
      </c>
      <c r="D20" t="str">
        <f t="shared" si="19"/>
        <v/>
      </c>
      <c r="E20" t="str">
        <f t="shared" si="19"/>
        <v/>
      </c>
      <c r="F20">
        <f t="shared" si="20"/>
        <v>2</v>
      </c>
      <c r="G20">
        <f t="shared" si="20"/>
        <v>3</v>
      </c>
      <c r="J20">
        <f t="shared" si="10"/>
        <v>2.4083189157584592</v>
      </c>
      <c r="K20">
        <f t="shared" si="11"/>
        <v>0.75</v>
      </c>
      <c r="L20" t="str">
        <f t="shared" si="21"/>
        <v>B</v>
      </c>
      <c r="M20">
        <f t="shared" si="12"/>
        <v>0</v>
      </c>
      <c r="O20">
        <f t="shared" si="13"/>
        <v>-1</v>
      </c>
      <c r="P20">
        <f t="shared" si="14"/>
        <v>-1</v>
      </c>
      <c r="Q20">
        <f t="shared" si="15"/>
        <v>2</v>
      </c>
      <c r="R20">
        <f t="shared" si="16"/>
        <v>3</v>
      </c>
      <c r="S20">
        <v>-1</v>
      </c>
      <c r="T20">
        <v>-1</v>
      </c>
      <c r="U20">
        <v>-1</v>
      </c>
      <c r="V20">
        <v>-1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52">
      <c r="A21">
        <f t="shared" si="17"/>
        <v>2</v>
      </c>
      <c r="B21">
        <f t="shared" si="17"/>
        <v>1</v>
      </c>
      <c r="C21" t="str">
        <f t="shared" si="18"/>
        <v>B</v>
      </c>
      <c r="D21" t="str">
        <f t="shared" si="19"/>
        <v/>
      </c>
      <c r="E21" t="str">
        <f t="shared" si="19"/>
        <v/>
      </c>
      <c r="F21">
        <f t="shared" si="20"/>
        <v>2</v>
      </c>
      <c r="G21">
        <f t="shared" si="20"/>
        <v>1</v>
      </c>
      <c r="J21">
        <f t="shared" si="10"/>
        <v>3.2557641192199416</v>
      </c>
      <c r="K21">
        <f t="shared" si="11"/>
        <v>1.25</v>
      </c>
      <c r="L21" t="str">
        <f t="shared" si="21"/>
        <v>B</v>
      </c>
      <c r="M21">
        <f t="shared" si="12"/>
        <v>0</v>
      </c>
      <c r="O21">
        <f t="shared" si="13"/>
        <v>-1</v>
      </c>
      <c r="P21">
        <f t="shared" si="14"/>
        <v>-1</v>
      </c>
      <c r="Q21">
        <f t="shared" si="15"/>
        <v>2</v>
      </c>
      <c r="R21">
        <f t="shared" si="16"/>
        <v>1</v>
      </c>
      <c r="S21">
        <v>-1</v>
      </c>
      <c r="T21">
        <v>-1</v>
      </c>
      <c r="U21">
        <v>-1</v>
      </c>
      <c r="V21">
        <v>-1</v>
      </c>
    </row>
    <row r="22" spans="1:52">
      <c r="D22">
        <f>AVERAGE(D13:D21)</f>
        <v>4.4000000000000004</v>
      </c>
      <c r="E22">
        <f>AVERAGE(E13:E21)</f>
        <v>3.2</v>
      </c>
      <c r="F22">
        <f>AVERAGE(F13:F21)</f>
        <v>2</v>
      </c>
      <c r="G22">
        <f>AVERAGE(G13:G21)</f>
        <v>2.25</v>
      </c>
      <c r="M22">
        <f>SUM(M13:M21)</f>
        <v>2</v>
      </c>
    </row>
    <row r="24" spans="1:52">
      <c r="AZ24" s="2"/>
    </row>
    <row r="25" spans="1:52">
      <c r="A25">
        <f>A13</f>
        <v>5</v>
      </c>
      <c r="B25">
        <f>B13</f>
        <v>2</v>
      </c>
      <c r="C25" t="str">
        <f>L13</f>
        <v>A</v>
      </c>
      <c r="D25">
        <f>IF($C25="A",A25,"")</f>
        <v>5</v>
      </c>
      <c r="E25">
        <f>IF($C25="A",B25,"")</f>
        <v>2</v>
      </c>
      <c r="F25" t="str">
        <f>IF($C25="B",A25,"")</f>
        <v/>
      </c>
      <c r="G25" t="str">
        <f>IF($C25="B",B25,"")</f>
        <v/>
      </c>
      <c r="H25">
        <f>D34</f>
        <v>4.4000000000000004</v>
      </c>
      <c r="I25">
        <f>E34</f>
        <v>3.8</v>
      </c>
      <c r="J25">
        <f t="shared" ref="J25:J33" si="22">SQRT((A25-D$34)^2+(B25-E$34)^2)</f>
        <v>1.8973665961010273</v>
      </c>
      <c r="K25">
        <f t="shared" ref="K25:K33" si="23">SQRT((A25-F$34)^2+(B25-G$34)^2)</f>
        <v>3.0413812651491097</v>
      </c>
      <c r="L25" t="str">
        <f>IF(J25&lt;K25,"A","B")</f>
        <v>A</v>
      </c>
      <c r="M25">
        <f t="shared" ref="M25:M33" si="24">IF(C25=L25,0,1)</f>
        <v>0</v>
      </c>
      <c r="O25">
        <f>IF(D25&lt;&gt;"",D25,-1)</f>
        <v>5</v>
      </c>
      <c r="P25">
        <f>IF(E25&lt;&gt;"",E25,-1)</f>
        <v>2</v>
      </c>
      <c r="Q25">
        <f>IF(F25&lt;&gt;"",F25,-1)</f>
        <v>-1</v>
      </c>
      <c r="R25">
        <f>IF(G25&lt;&gt;"",G25,-1)</f>
        <v>-1</v>
      </c>
      <c r="S25">
        <f>D34</f>
        <v>4.4000000000000004</v>
      </c>
      <c r="T25">
        <f>E34</f>
        <v>3.8</v>
      </c>
      <c r="U25">
        <f>F34</f>
        <v>2</v>
      </c>
      <c r="V25">
        <f>G34</f>
        <v>1.5</v>
      </c>
      <c r="AZ25" s="2"/>
    </row>
    <row r="26" spans="1:52">
      <c r="A26">
        <f t="shared" ref="A26:B33" si="25">A14</f>
        <v>3</v>
      </c>
      <c r="B26">
        <f t="shared" si="25"/>
        <v>1</v>
      </c>
      <c r="C26" t="str">
        <f t="shared" ref="C26:C33" si="26">L14</f>
        <v>B</v>
      </c>
      <c r="D26" t="str">
        <f t="shared" ref="D26:E33" si="27">IF($C26="A",A26,"")</f>
        <v/>
      </c>
      <c r="E26" t="str">
        <f t="shared" si="27"/>
        <v/>
      </c>
      <c r="F26">
        <f t="shared" ref="F26:G33" si="28">IF($C26="B",A26,"")</f>
        <v>3</v>
      </c>
      <c r="G26">
        <f t="shared" si="28"/>
        <v>1</v>
      </c>
      <c r="H26">
        <f>F34</f>
        <v>2</v>
      </c>
      <c r="I26">
        <f>G34</f>
        <v>1.5</v>
      </c>
      <c r="J26">
        <f t="shared" si="22"/>
        <v>3.1304951684997055</v>
      </c>
      <c r="K26">
        <f t="shared" si="23"/>
        <v>1.1180339887498949</v>
      </c>
      <c r="L26" t="str">
        <f t="shared" ref="L26:L33" si="29">IF(J26&lt;K26,"A","B")</f>
        <v>B</v>
      </c>
      <c r="M26">
        <f t="shared" si="24"/>
        <v>0</v>
      </c>
      <c r="O26">
        <f t="shared" ref="O26:O33" si="30">IF(D26&lt;&gt;"",D26,-1)</f>
        <v>-1</v>
      </c>
      <c r="P26">
        <f t="shared" ref="P26:R33" si="31">IF(E26&lt;&gt;"",E26,-1)</f>
        <v>-1</v>
      </c>
      <c r="Q26">
        <f t="shared" si="31"/>
        <v>3</v>
      </c>
      <c r="R26">
        <f t="shared" si="31"/>
        <v>1</v>
      </c>
      <c r="S26">
        <v>-1</v>
      </c>
      <c r="T26">
        <v>-1</v>
      </c>
      <c r="U26">
        <v>-1</v>
      </c>
      <c r="V26">
        <v>-1</v>
      </c>
      <c r="AZ26" s="2"/>
    </row>
    <row r="27" spans="1:52">
      <c r="A27">
        <f t="shared" si="25"/>
        <v>1</v>
      </c>
      <c r="B27">
        <f t="shared" si="25"/>
        <v>1</v>
      </c>
      <c r="C27" t="str">
        <f t="shared" si="26"/>
        <v>B</v>
      </c>
      <c r="D27" t="str">
        <f t="shared" si="27"/>
        <v/>
      </c>
      <c r="E27" t="str">
        <f t="shared" si="27"/>
        <v/>
      </c>
      <c r="F27">
        <f t="shared" si="28"/>
        <v>1</v>
      </c>
      <c r="G27">
        <f t="shared" si="28"/>
        <v>1</v>
      </c>
      <c r="J27">
        <f t="shared" si="22"/>
        <v>4.4045431091090483</v>
      </c>
      <c r="K27">
        <f t="shared" si="23"/>
        <v>1.1180339887498949</v>
      </c>
      <c r="L27" t="str">
        <f t="shared" si="29"/>
        <v>B</v>
      </c>
      <c r="M27">
        <f t="shared" si="24"/>
        <v>0</v>
      </c>
      <c r="O27">
        <f t="shared" si="30"/>
        <v>-1</v>
      </c>
      <c r="P27">
        <f t="shared" si="31"/>
        <v>-1</v>
      </c>
      <c r="Q27">
        <f t="shared" si="31"/>
        <v>1</v>
      </c>
      <c r="R27">
        <f t="shared" si="31"/>
        <v>1</v>
      </c>
      <c r="S27">
        <v>-1</v>
      </c>
      <c r="T27">
        <v>-1</v>
      </c>
      <c r="U27">
        <v>-1</v>
      </c>
      <c r="V27">
        <v>-1</v>
      </c>
      <c r="AZ27" s="2"/>
    </row>
    <row r="28" spans="1:52">
      <c r="A28">
        <f t="shared" si="25"/>
        <v>5</v>
      </c>
      <c r="B28">
        <f t="shared" si="25"/>
        <v>4</v>
      </c>
      <c r="C28" t="str">
        <f t="shared" si="26"/>
        <v>A</v>
      </c>
      <c r="D28">
        <f t="shared" si="27"/>
        <v>5</v>
      </c>
      <c r="E28">
        <f t="shared" si="27"/>
        <v>4</v>
      </c>
      <c r="F28" t="str">
        <f t="shared" si="28"/>
        <v/>
      </c>
      <c r="G28" t="str">
        <f t="shared" si="28"/>
        <v/>
      </c>
      <c r="J28">
        <f t="shared" si="22"/>
        <v>0.63245553203367566</v>
      </c>
      <c r="K28">
        <f t="shared" si="23"/>
        <v>3.905124837953327</v>
      </c>
      <c r="L28" t="str">
        <f t="shared" si="29"/>
        <v>A</v>
      </c>
      <c r="M28">
        <f t="shared" si="24"/>
        <v>0</v>
      </c>
      <c r="O28">
        <f t="shared" si="30"/>
        <v>5</v>
      </c>
      <c r="P28">
        <f t="shared" si="31"/>
        <v>4</v>
      </c>
      <c r="Q28">
        <f t="shared" si="31"/>
        <v>-1</v>
      </c>
      <c r="R28">
        <f t="shared" si="31"/>
        <v>-1</v>
      </c>
      <c r="S28">
        <v>-1</v>
      </c>
      <c r="T28">
        <v>-1</v>
      </c>
      <c r="U28">
        <v>-1</v>
      </c>
      <c r="V28">
        <v>-1</v>
      </c>
    </row>
    <row r="29" spans="1:52">
      <c r="A29">
        <f t="shared" si="25"/>
        <v>5</v>
      </c>
      <c r="B29">
        <f t="shared" si="25"/>
        <v>5</v>
      </c>
      <c r="C29" t="str">
        <f t="shared" si="26"/>
        <v>A</v>
      </c>
      <c r="D29">
        <f t="shared" si="27"/>
        <v>5</v>
      </c>
      <c r="E29">
        <f t="shared" si="27"/>
        <v>5</v>
      </c>
      <c r="F29" t="str">
        <f t="shared" si="28"/>
        <v/>
      </c>
      <c r="G29" t="str">
        <f t="shared" si="28"/>
        <v/>
      </c>
      <c r="J29">
        <f t="shared" si="22"/>
        <v>1.3416407864998738</v>
      </c>
      <c r="K29">
        <f t="shared" si="23"/>
        <v>4.6097722286464435</v>
      </c>
      <c r="L29" t="str">
        <f t="shared" si="29"/>
        <v>A</v>
      </c>
      <c r="M29">
        <f t="shared" si="24"/>
        <v>0</v>
      </c>
      <c r="O29">
        <f t="shared" si="30"/>
        <v>5</v>
      </c>
      <c r="P29">
        <f t="shared" si="31"/>
        <v>5</v>
      </c>
      <c r="Q29">
        <f t="shared" si="31"/>
        <v>-1</v>
      </c>
      <c r="R29">
        <f t="shared" si="31"/>
        <v>-1</v>
      </c>
      <c r="S29">
        <v>-1</v>
      </c>
      <c r="T29">
        <v>-1</v>
      </c>
      <c r="U29">
        <v>-1</v>
      </c>
      <c r="V29">
        <v>-1</v>
      </c>
    </row>
    <row r="30" spans="1:52">
      <c r="A30">
        <f t="shared" si="25"/>
        <v>3</v>
      </c>
      <c r="B30">
        <f t="shared" si="25"/>
        <v>4</v>
      </c>
      <c r="C30" t="str">
        <f t="shared" si="26"/>
        <v>A</v>
      </c>
      <c r="D30">
        <f t="shared" si="27"/>
        <v>3</v>
      </c>
      <c r="E30">
        <f t="shared" si="27"/>
        <v>4</v>
      </c>
      <c r="F30" t="str">
        <f t="shared" si="28"/>
        <v/>
      </c>
      <c r="G30" t="str">
        <f t="shared" si="28"/>
        <v/>
      </c>
      <c r="J30">
        <f t="shared" si="22"/>
        <v>1.4142135623730956</v>
      </c>
      <c r="K30">
        <f t="shared" si="23"/>
        <v>2.6925824035672519</v>
      </c>
      <c r="L30" t="str">
        <f t="shared" si="29"/>
        <v>A</v>
      </c>
      <c r="M30">
        <f t="shared" si="24"/>
        <v>0</v>
      </c>
      <c r="O30">
        <f t="shared" si="30"/>
        <v>3</v>
      </c>
      <c r="P30">
        <f t="shared" si="31"/>
        <v>4</v>
      </c>
      <c r="Q30">
        <f t="shared" si="31"/>
        <v>-1</v>
      </c>
      <c r="R30">
        <f t="shared" si="31"/>
        <v>-1</v>
      </c>
      <c r="S30">
        <v>-1</v>
      </c>
      <c r="T30">
        <v>-1</v>
      </c>
      <c r="U30">
        <v>-1</v>
      </c>
      <c r="V30">
        <v>-1</v>
      </c>
    </row>
    <row r="31" spans="1:52">
      <c r="A31">
        <f t="shared" si="25"/>
        <v>4</v>
      </c>
      <c r="B31">
        <f t="shared" si="25"/>
        <v>4</v>
      </c>
      <c r="C31" t="str">
        <f t="shared" si="26"/>
        <v>A</v>
      </c>
      <c r="D31">
        <f t="shared" si="27"/>
        <v>4</v>
      </c>
      <c r="E31">
        <f t="shared" si="27"/>
        <v>4</v>
      </c>
      <c r="F31" t="str">
        <f t="shared" si="28"/>
        <v/>
      </c>
      <c r="G31" t="str">
        <f t="shared" si="28"/>
        <v/>
      </c>
      <c r="J31">
        <f t="shared" si="22"/>
        <v>0.44721359549995832</v>
      </c>
      <c r="K31">
        <f t="shared" si="23"/>
        <v>3.2015621187164243</v>
      </c>
      <c r="L31" t="str">
        <f t="shared" si="29"/>
        <v>A</v>
      </c>
      <c r="M31">
        <f t="shared" si="24"/>
        <v>0</v>
      </c>
      <c r="O31">
        <f t="shared" si="30"/>
        <v>4</v>
      </c>
      <c r="P31">
        <f t="shared" si="31"/>
        <v>4</v>
      </c>
      <c r="Q31">
        <f t="shared" si="31"/>
        <v>-1</v>
      </c>
      <c r="R31">
        <f t="shared" si="31"/>
        <v>-1</v>
      </c>
      <c r="S31">
        <v>-1</v>
      </c>
      <c r="T31">
        <v>-1</v>
      </c>
      <c r="U31">
        <v>-1</v>
      </c>
      <c r="V31">
        <v>-1</v>
      </c>
    </row>
    <row r="32" spans="1:52">
      <c r="A32">
        <f t="shared" si="25"/>
        <v>2</v>
      </c>
      <c r="B32">
        <f t="shared" si="25"/>
        <v>3</v>
      </c>
      <c r="C32" t="str">
        <f t="shared" si="26"/>
        <v>B</v>
      </c>
      <c r="D32" t="str">
        <f t="shared" si="27"/>
        <v/>
      </c>
      <c r="E32" t="str">
        <f t="shared" si="27"/>
        <v/>
      </c>
      <c r="F32">
        <f t="shared" si="28"/>
        <v>2</v>
      </c>
      <c r="G32">
        <f t="shared" si="28"/>
        <v>3</v>
      </c>
      <c r="J32">
        <f t="shared" si="22"/>
        <v>2.5298221281347035</v>
      </c>
      <c r="K32">
        <f t="shared" si="23"/>
        <v>1.5</v>
      </c>
      <c r="L32" t="str">
        <f t="shared" si="29"/>
        <v>B</v>
      </c>
      <c r="M32">
        <f t="shared" si="24"/>
        <v>0</v>
      </c>
      <c r="O32">
        <f t="shared" si="30"/>
        <v>-1</v>
      </c>
      <c r="P32">
        <f t="shared" si="31"/>
        <v>-1</v>
      </c>
      <c r="Q32">
        <f t="shared" si="31"/>
        <v>2</v>
      </c>
      <c r="R32">
        <f t="shared" si="31"/>
        <v>3</v>
      </c>
      <c r="S32">
        <v>-1</v>
      </c>
      <c r="T32">
        <v>-1</v>
      </c>
      <c r="U32">
        <v>-1</v>
      </c>
      <c r="V32">
        <v>-1</v>
      </c>
    </row>
    <row r="33" spans="1:22">
      <c r="A33">
        <f t="shared" si="25"/>
        <v>2</v>
      </c>
      <c r="B33">
        <f t="shared" si="25"/>
        <v>1</v>
      </c>
      <c r="C33" t="str">
        <f t="shared" si="26"/>
        <v>B</v>
      </c>
      <c r="D33" t="str">
        <f t="shared" si="27"/>
        <v/>
      </c>
      <c r="E33" t="str">
        <f t="shared" si="27"/>
        <v/>
      </c>
      <c r="F33">
        <f t="shared" si="28"/>
        <v>2</v>
      </c>
      <c r="G33">
        <f t="shared" si="28"/>
        <v>1</v>
      </c>
      <c r="J33">
        <f t="shared" si="22"/>
        <v>3.687817782917155</v>
      </c>
      <c r="K33">
        <f t="shared" si="23"/>
        <v>0.5</v>
      </c>
      <c r="L33" t="str">
        <f t="shared" si="29"/>
        <v>B</v>
      </c>
      <c r="M33">
        <f t="shared" si="24"/>
        <v>0</v>
      </c>
      <c r="O33">
        <f t="shared" si="30"/>
        <v>-1</v>
      </c>
      <c r="P33">
        <f t="shared" si="31"/>
        <v>-1</v>
      </c>
      <c r="Q33">
        <f t="shared" si="31"/>
        <v>2</v>
      </c>
      <c r="R33">
        <f t="shared" si="31"/>
        <v>1</v>
      </c>
      <c r="S33">
        <v>-1</v>
      </c>
      <c r="T33">
        <v>-1</v>
      </c>
      <c r="U33">
        <v>-1</v>
      </c>
      <c r="V33">
        <v>-1</v>
      </c>
    </row>
    <row r="34" spans="1:22">
      <c r="D34">
        <f>AVERAGE(D25:D33)</f>
        <v>4.4000000000000004</v>
      </c>
      <c r="E34">
        <f>AVERAGE(E25:E33)</f>
        <v>3.8</v>
      </c>
      <c r="F34">
        <f>AVERAGE(F25:F33)</f>
        <v>2</v>
      </c>
      <c r="G34">
        <f>AVERAGE(G25:G33)</f>
        <v>1.5</v>
      </c>
      <c r="M34">
        <f>SUM(M25:M33)</f>
        <v>0</v>
      </c>
    </row>
    <row r="36" spans="1:22">
      <c r="A36">
        <f ca="1">RANDBETWEEN(1,5)</f>
        <v>3</v>
      </c>
      <c r="B36">
        <f ca="1">RANDBETWEEN(1,5)</f>
        <v>5</v>
      </c>
      <c r="F36">
        <v>5</v>
      </c>
      <c r="G36">
        <v>2</v>
      </c>
      <c r="L36">
        <v>4</v>
      </c>
      <c r="M36">
        <v>4</v>
      </c>
      <c r="N36" t="s">
        <v>0</v>
      </c>
      <c r="O36" t="s">
        <v>0</v>
      </c>
      <c r="Q36">
        <v>4</v>
      </c>
      <c r="R36">
        <v>4</v>
      </c>
    </row>
    <row r="37" spans="1:22">
      <c r="A37">
        <f t="shared" ref="A37:B44" ca="1" si="32">RANDBETWEEN(1,5)</f>
        <v>2</v>
      </c>
      <c r="B37">
        <f t="shared" ca="1" si="32"/>
        <v>4</v>
      </c>
      <c r="F37">
        <v>4</v>
      </c>
      <c r="G37">
        <v>1</v>
      </c>
      <c r="L37">
        <v>1</v>
      </c>
      <c r="M37">
        <v>5</v>
      </c>
      <c r="N37" t="s">
        <v>1</v>
      </c>
      <c r="O37" t="s">
        <v>0</v>
      </c>
      <c r="Q37">
        <v>2</v>
      </c>
      <c r="R37">
        <v>2</v>
      </c>
    </row>
    <row r="38" spans="1:22">
      <c r="A38">
        <f t="shared" ca="1" si="32"/>
        <v>4</v>
      </c>
      <c r="B38">
        <f t="shared" ca="1" si="32"/>
        <v>3</v>
      </c>
      <c r="F38">
        <v>1</v>
      </c>
      <c r="G38">
        <v>1</v>
      </c>
      <c r="L38">
        <v>3</v>
      </c>
      <c r="M38">
        <v>3</v>
      </c>
      <c r="N38" t="s">
        <v>1</v>
      </c>
      <c r="O38" t="s">
        <v>0</v>
      </c>
      <c r="Q38">
        <v>5</v>
      </c>
      <c r="R38">
        <v>1</v>
      </c>
    </row>
    <row r="39" spans="1:22">
      <c r="A39">
        <f t="shared" ca="1" si="32"/>
        <v>3</v>
      </c>
      <c r="B39">
        <f t="shared" ca="1" si="32"/>
        <v>5</v>
      </c>
      <c r="F39">
        <v>5</v>
      </c>
      <c r="G39">
        <v>4</v>
      </c>
      <c r="L39">
        <v>4</v>
      </c>
      <c r="M39">
        <v>4</v>
      </c>
      <c r="N39" t="s">
        <v>3</v>
      </c>
      <c r="O39" t="s">
        <v>0</v>
      </c>
      <c r="Q39">
        <v>1</v>
      </c>
      <c r="R39">
        <v>5</v>
      </c>
    </row>
    <row r="40" spans="1:22">
      <c r="A40">
        <f t="shared" ca="1" si="32"/>
        <v>1</v>
      </c>
      <c r="B40">
        <f t="shared" ca="1" si="32"/>
        <v>1</v>
      </c>
      <c r="F40">
        <v>5</v>
      </c>
      <c r="G40">
        <v>5</v>
      </c>
      <c r="L40">
        <v>2</v>
      </c>
      <c r="M40">
        <v>1</v>
      </c>
      <c r="N40" t="s">
        <v>3</v>
      </c>
      <c r="O40" t="s">
        <v>2</v>
      </c>
      <c r="Q40">
        <v>2</v>
      </c>
      <c r="R40">
        <v>1</v>
      </c>
    </row>
    <row r="41" spans="1:22">
      <c r="A41">
        <f t="shared" ca="1" si="32"/>
        <v>1</v>
      </c>
      <c r="B41">
        <f t="shared" ca="1" si="32"/>
        <v>2</v>
      </c>
      <c r="F41">
        <v>3</v>
      </c>
      <c r="G41">
        <v>4</v>
      </c>
      <c r="L41">
        <v>2</v>
      </c>
      <c r="M41">
        <v>2</v>
      </c>
      <c r="N41" t="s">
        <v>3</v>
      </c>
      <c r="O41" t="s">
        <v>2</v>
      </c>
      <c r="Q41">
        <v>4</v>
      </c>
      <c r="R41">
        <v>2</v>
      </c>
    </row>
    <row r="42" spans="1:22">
      <c r="A42">
        <f t="shared" ca="1" si="32"/>
        <v>3</v>
      </c>
      <c r="B42">
        <f t="shared" ca="1" si="32"/>
        <v>2</v>
      </c>
      <c r="F42">
        <v>4</v>
      </c>
      <c r="G42">
        <v>4</v>
      </c>
      <c r="L42">
        <v>1</v>
      </c>
      <c r="M42">
        <v>2</v>
      </c>
      <c r="N42" t="s">
        <v>4</v>
      </c>
      <c r="O42" t="s">
        <v>2</v>
      </c>
      <c r="Q42">
        <v>3</v>
      </c>
      <c r="R42">
        <v>3</v>
      </c>
    </row>
    <row r="43" spans="1:22">
      <c r="A43">
        <f t="shared" ca="1" si="32"/>
        <v>4</v>
      </c>
      <c r="B43">
        <f t="shared" ca="1" si="32"/>
        <v>4</v>
      </c>
      <c r="F43">
        <v>2</v>
      </c>
      <c r="G43">
        <v>3</v>
      </c>
      <c r="L43">
        <v>4</v>
      </c>
      <c r="M43">
        <v>2</v>
      </c>
      <c r="N43" t="s">
        <v>5</v>
      </c>
      <c r="O43" t="s">
        <v>4</v>
      </c>
      <c r="Q43">
        <v>4</v>
      </c>
      <c r="R43">
        <v>4</v>
      </c>
    </row>
    <row r="44" spans="1:22">
      <c r="A44">
        <f t="shared" ca="1" si="32"/>
        <v>2</v>
      </c>
      <c r="B44">
        <f t="shared" ca="1" si="32"/>
        <v>1</v>
      </c>
      <c r="F44">
        <v>2</v>
      </c>
      <c r="G44">
        <v>1</v>
      </c>
      <c r="L44">
        <v>5</v>
      </c>
      <c r="M44">
        <v>1</v>
      </c>
      <c r="N44" t="s">
        <v>5</v>
      </c>
      <c r="O44" t="s">
        <v>4</v>
      </c>
      <c r="Q44">
        <v>1</v>
      </c>
      <c r="R44">
        <v>2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E4618-97E7-48BB-A493-FEEBE67DDC14}">
  <dimension ref="A1:BH44"/>
  <sheetViews>
    <sheetView zoomScale="55" zoomScaleNormal="55" workbookViewId="0">
      <selection activeCell="CO21" sqref="CO21"/>
    </sheetView>
  </sheetViews>
  <sheetFormatPr defaultRowHeight="18"/>
  <cols>
    <col min="4" max="11" width="8.6640625" customWidth="1"/>
    <col min="26" max="61" width="3" customWidth="1"/>
    <col min="62" max="89" width="3.08203125" customWidth="1"/>
  </cols>
  <sheetData>
    <row r="1" spans="1:60">
      <c r="A1">
        <v>5</v>
      </c>
      <c r="B1">
        <v>2</v>
      </c>
      <c r="C1" t="s">
        <v>1</v>
      </c>
      <c r="D1">
        <f>IF($C1="A",A1,"")</f>
        <v>5</v>
      </c>
      <c r="E1">
        <f>IF($C1="A",B1,"")</f>
        <v>2</v>
      </c>
      <c r="F1" t="str">
        <f>IF($C1="B",A1,"")</f>
        <v/>
      </c>
      <c r="G1" t="str">
        <f>IF($C1="B",B1,"")</f>
        <v/>
      </c>
      <c r="H1">
        <f>D10</f>
        <v>2.6</v>
      </c>
      <c r="I1">
        <f>E10</f>
        <v>1.8</v>
      </c>
      <c r="J1">
        <f t="shared" ref="J1:J9" si="0">SQRT((A1-D$10)^2+(B1-E$10)^2)</f>
        <v>2.4083189157584592</v>
      </c>
      <c r="K1">
        <f t="shared" ref="K1:K9" si="1">SQRT((A1-F$10)^2+(B1-G$10)^2)</f>
        <v>2.5739075352467502</v>
      </c>
      <c r="L1" t="str">
        <f>IF(J1&lt;K1,"A","B")</f>
        <v>A</v>
      </c>
      <c r="M1">
        <f t="shared" ref="M1:M9" si="2">IF(C1=L1,0,1)</f>
        <v>0</v>
      </c>
      <c r="O1">
        <f t="shared" ref="O1:R9" si="3">IF(D1&lt;&gt;"",D1,-1)</f>
        <v>5</v>
      </c>
      <c r="P1">
        <f t="shared" si="3"/>
        <v>2</v>
      </c>
      <c r="Q1">
        <f t="shared" si="3"/>
        <v>-1</v>
      </c>
      <c r="R1">
        <f t="shared" si="3"/>
        <v>-1</v>
      </c>
      <c r="S1">
        <f>D10</f>
        <v>2.6</v>
      </c>
      <c r="T1">
        <f>E10</f>
        <v>1.8</v>
      </c>
      <c r="U1">
        <f>F10</f>
        <v>3.75</v>
      </c>
      <c r="V1">
        <f>G10</f>
        <v>4.25</v>
      </c>
    </row>
    <row r="2" spans="1:60">
      <c r="A2">
        <v>3</v>
      </c>
      <c r="B2">
        <v>2</v>
      </c>
      <c r="C2" t="s">
        <v>1</v>
      </c>
      <c r="D2">
        <f t="shared" ref="D2:E9" si="4">IF($C2="A",A2,"")</f>
        <v>3</v>
      </c>
      <c r="E2">
        <f t="shared" si="4"/>
        <v>2</v>
      </c>
      <c r="F2" t="str">
        <f t="shared" ref="F2:G9" si="5">IF($C2="B",A2,"")</f>
        <v/>
      </c>
      <c r="G2" t="str">
        <f t="shared" si="5"/>
        <v/>
      </c>
      <c r="H2">
        <f>F10</f>
        <v>3.75</v>
      </c>
      <c r="I2">
        <f>G10</f>
        <v>4.25</v>
      </c>
      <c r="J2">
        <f t="shared" si="0"/>
        <v>0.44721359549995782</v>
      </c>
      <c r="K2">
        <f t="shared" si="1"/>
        <v>2.3717082451262845</v>
      </c>
      <c r="L2" t="str">
        <f t="shared" ref="L2:L9" si="6">IF(J2&lt;K2,"A","B")</f>
        <v>A</v>
      </c>
      <c r="M2">
        <f t="shared" si="2"/>
        <v>0</v>
      </c>
      <c r="O2">
        <f t="shared" si="3"/>
        <v>3</v>
      </c>
      <c r="P2">
        <f t="shared" si="3"/>
        <v>2</v>
      </c>
      <c r="Q2">
        <f t="shared" si="3"/>
        <v>-1</v>
      </c>
      <c r="R2">
        <f t="shared" si="3"/>
        <v>-1</v>
      </c>
      <c r="S2">
        <v>-1</v>
      </c>
      <c r="T2">
        <v>-1</v>
      </c>
      <c r="U2">
        <v>-1</v>
      </c>
      <c r="V2">
        <v>-1</v>
      </c>
      <c r="AZ2" s="1"/>
    </row>
    <row r="3" spans="1:60">
      <c r="A3">
        <v>1</v>
      </c>
      <c r="B3">
        <v>1</v>
      </c>
      <c r="C3" t="s">
        <v>1</v>
      </c>
      <c r="D3">
        <f t="shared" si="4"/>
        <v>1</v>
      </c>
      <c r="E3">
        <f t="shared" si="4"/>
        <v>1</v>
      </c>
      <c r="F3" t="str">
        <f t="shared" si="5"/>
        <v/>
      </c>
      <c r="G3" t="str">
        <f t="shared" si="5"/>
        <v/>
      </c>
      <c r="J3">
        <f t="shared" si="0"/>
        <v>1.7888543819998319</v>
      </c>
      <c r="K3">
        <f t="shared" si="1"/>
        <v>4.2573465914816007</v>
      </c>
      <c r="L3" t="str">
        <f t="shared" si="6"/>
        <v>A</v>
      </c>
      <c r="M3">
        <f t="shared" si="2"/>
        <v>0</v>
      </c>
      <c r="O3">
        <f t="shared" si="3"/>
        <v>1</v>
      </c>
      <c r="P3">
        <f t="shared" si="3"/>
        <v>1</v>
      </c>
      <c r="Q3">
        <f t="shared" si="3"/>
        <v>-1</v>
      </c>
      <c r="R3">
        <f t="shared" si="3"/>
        <v>-1</v>
      </c>
      <c r="S3">
        <v>-1</v>
      </c>
      <c r="T3">
        <v>-1</v>
      </c>
      <c r="U3">
        <v>-1</v>
      </c>
      <c r="V3">
        <v>-1</v>
      </c>
      <c r="AZ3" s="1"/>
    </row>
    <row r="4" spans="1:60">
      <c r="A4">
        <v>5</v>
      </c>
      <c r="B4">
        <v>4</v>
      </c>
      <c r="C4" t="s">
        <v>3</v>
      </c>
      <c r="D4" t="str">
        <f t="shared" si="4"/>
        <v/>
      </c>
      <c r="E4" t="str">
        <f t="shared" si="4"/>
        <v/>
      </c>
      <c r="F4">
        <f t="shared" si="5"/>
        <v>5</v>
      </c>
      <c r="G4">
        <f t="shared" si="5"/>
        <v>4</v>
      </c>
      <c r="J4">
        <f t="shared" si="0"/>
        <v>3.2557641192199416</v>
      </c>
      <c r="K4">
        <f t="shared" si="1"/>
        <v>1.2747548783981961</v>
      </c>
      <c r="L4" t="str">
        <f t="shared" si="6"/>
        <v>B</v>
      </c>
      <c r="M4">
        <f t="shared" si="2"/>
        <v>0</v>
      </c>
      <c r="O4">
        <f t="shared" si="3"/>
        <v>-1</v>
      </c>
      <c r="P4">
        <f t="shared" si="3"/>
        <v>-1</v>
      </c>
      <c r="Q4">
        <f t="shared" si="3"/>
        <v>5</v>
      </c>
      <c r="R4">
        <f t="shared" si="3"/>
        <v>4</v>
      </c>
      <c r="S4">
        <v>-1</v>
      </c>
      <c r="T4">
        <v>-1</v>
      </c>
      <c r="U4">
        <v>-1</v>
      </c>
      <c r="V4">
        <v>-1</v>
      </c>
      <c r="AZ4" s="1"/>
    </row>
    <row r="5" spans="1:60">
      <c r="A5">
        <v>5</v>
      </c>
      <c r="B5">
        <v>5</v>
      </c>
      <c r="C5" t="s">
        <v>3</v>
      </c>
      <c r="D5" t="str">
        <f t="shared" si="4"/>
        <v/>
      </c>
      <c r="E5" t="str">
        <f t="shared" si="4"/>
        <v/>
      </c>
      <c r="F5">
        <f t="shared" si="5"/>
        <v>5</v>
      </c>
      <c r="G5">
        <f t="shared" si="5"/>
        <v>5</v>
      </c>
      <c r="J5">
        <f t="shared" si="0"/>
        <v>4</v>
      </c>
      <c r="K5">
        <f t="shared" si="1"/>
        <v>1.4577379737113252</v>
      </c>
      <c r="L5" t="str">
        <f t="shared" si="6"/>
        <v>B</v>
      </c>
      <c r="M5">
        <f t="shared" si="2"/>
        <v>0</v>
      </c>
      <c r="O5">
        <f t="shared" si="3"/>
        <v>-1</v>
      </c>
      <c r="P5">
        <f t="shared" si="3"/>
        <v>-1</v>
      </c>
      <c r="Q5">
        <f t="shared" si="3"/>
        <v>5</v>
      </c>
      <c r="R5">
        <f t="shared" si="3"/>
        <v>5</v>
      </c>
      <c r="S5">
        <v>-1</v>
      </c>
      <c r="T5">
        <v>-1</v>
      </c>
      <c r="U5">
        <v>-1</v>
      </c>
      <c r="V5">
        <v>-1</v>
      </c>
      <c r="AZ5" s="1"/>
    </row>
    <row r="6" spans="1:60">
      <c r="A6">
        <v>1</v>
      </c>
      <c r="B6">
        <v>4</v>
      </c>
      <c r="C6" t="s">
        <v>3</v>
      </c>
      <c r="D6" t="str">
        <f t="shared" si="4"/>
        <v/>
      </c>
      <c r="E6" t="str">
        <f t="shared" si="4"/>
        <v/>
      </c>
      <c r="F6">
        <f t="shared" si="5"/>
        <v>1</v>
      </c>
      <c r="G6">
        <f t="shared" si="5"/>
        <v>4</v>
      </c>
      <c r="J6">
        <f t="shared" si="0"/>
        <v>2.720294101747089</v>
      </c>
      <c r="K6">
        <f t="shared" si="1"/>
        <v>2.7613402542968153</v>
      </c>
      <c r="L6" t="str">
        <f t="shared" si="6"/>
        <v>A</v>
      </c>
      <c r="M6">
        <f t="shared" si="2"/>
        <v>1</v>
      </c>
      <c r="O6">
        <f t="shared" si="3"/>
        <v>-1</v>
      </c>
      <c r="P6">
        <f t="shared" si="3"/>
        <v>-1</v>
      </c>
      <c r="Q6">
        <f t="shared" si="3"/>
        <v>1</v>
      </c>
      <c r="R6">
        <f t="shared" si="3"/>
        <v>4</v>
      </c>
      <c r="S6">
        <v>-1</v>
      </c>
      <c r="T6">
        <v>-1</v>
      </c>
      <c r="U6">
        <v>-1</v>
      </c>
      <c r="V6">
        <v>-1</v>
      </c>
      <c r="AZ6" s="1"/>
    </row>
    <row r="7" spans="1:60">
      <c r="A7">
        <v>4</v>
      </c>
      <c r="B7">
        <v>4</v>
      </c>
      <c r="C7" t="s">
        <v>3</v>
      </c>
      <c r="D7" t="str">
        <f t="shared" si="4"/>
        <v/>
      </c>
      <c r="E7" t="str">
        <f t="shared" si="4"/>
        <v/>
      </c>
      <c r="F7">
        <f t="shared" si="5"/>
        <v>4</v>
      </c>
      <c r="G7">
        <f t="shared" si="5"/>
        <v>4</v>
      </c>
      <c r="J7">
        <f t="shared" si="0"/>
        <v>2.6076809620810595</v>
      </c>
      <c r="K7">
        <f t="shared" si="1"/>
        <v>0.35355339059327379</v>
      </c>
      <c r="L7" t="str">
        <f t="shared" si="6"/>
        <v>B</v>
      </c>
      <c r="M7">
        <f t="shared" si="2"/>
        <v>0</v>
      </c>
      <c r="O7">
        <f t="shared" si="3"/>
        <v>-1</v>
      </c>
      <c r="P7">
        <f t="shared" si="3"/>
        <v>-1</v>
      </c>
      <c r="Q7">
        <f t="shared" si="3"/>
        <v>4</v>
      </c>
      <c r="R7">
        <f t="shared" si="3"/>
        <v>4</v>
      </c>
      <c r="S7">
        <v>-1</v>
      </c>
      <c r="T7">
        <v>-1</v>
      </c>
      <c r="U7">
        <v>-1</v>
      </c>
      <c r="V7">
        <v>-1</v>
      </c>
      <c r="AZ7" s="1"/>
    </row>
    <row r="8" spans="1:60">
      <c r="A8">
        <v>2</v>
      </c>
      <c r="B8">
        <v>3</v>
      </c>
      <c r="C8" t="s">
        <v>1</v>
      </c>
      <c r="D8">
        <f t="shared" si="4"/>
        <v>2</v>
      </c>
      <c r="E8">
        <f t="shared" si="4"/>
        <v>3</v>
      </c>
      <c r="F8" t="str">
        <f t="shared" si="5"/>
        <v/>
      </c>
      <c r="G8" t="str">
        <f t="shared" si="5"/>
        <v/>
      </c>
      <c r="J8">
        <f t="shared" si="0"/>
        <v>1.3416407864998738</v>
      </c>
      <c r="K8">
        <f t="shared" si="1"/>
        <v>2.1505813167606567</v>
      </c>
      <c r="L8" t="str">
        <f t="shared" si="6"/>
        <v>A</v>
      </c>
      <c r="M8">
        <f t="shared" si="2"/>
        <v>0</v>
      </c>
      <c r="O8">
        <f t="shared" si="3"/>
        <v>2</v>
      </c>
      <c r="P8">
        <f t="shared" si="3"/>
        <v>3</v>
      </c>
      <c r="Q8">
        <f t="shared" si="3"/>
        <v>-1</v>
      </c>
      <c r="R8">
        <f t="shared" si="3"/>
        <v>-1</v>
      </c>
      <c r="S8">
        <v>-1</v>
      </c>
      <c r="T8">
        <v>-1</v>
      </c>
      <c r="U8">
        <v>-1</v>
      </c>
      <c r="V8">
        <v>-1</v>
      </c>
      <c r="AZ8" s="1"/>
    </row>
    <row r="9" spans="1:60">
      <c r="A9">
        <v>2</v>
      </c>
      <c r="B9">
        <v>1</v>
      </c>
      <c r="C9" t="s">
        <v>1</v>
      </c>
      <c r="D9">
        <f t="shared" si="4"/>
        <v>2</v>
      </c>
      <c r="E9">
        <f t="shared" si="4"/>
        <v>1</v>
      </c>
      <c r="F9" t="str">
        <f t="shared" si="5"/>
        <v/>
      </c>
      <c r="G9" t="str">
        <f t="shared" si="5"/>
        <v/>
      </c>
      <c r="J9">
        <f t="shared" si="0"/>
        <v>1</v>
      </c>
      <c r="K9">
        <f t="shared" si="1"/>
        <v>3.6912057650583501</v>
      </c>
      <c r="L9" t="str">
        <f t="shared" si="6"/>
        <v>A</v>
      </c>
      <c r="M9">
        <f t="shared" si="2"/>
        <v>0</v>
      </c>
      <c r="O9">
        <f t="shared" si="3"/>
        <v>2</v>
      </c>
      <c r="P9">
        <f t="shared" si="3"/>
        <v>1</v>
      </c>
      <c r="Q9">
        <f t="shared" si="3"/>
        <v>-1</v>
      </c>
      <c r="R9">
        <f t="shared" si="3"/>
        <v>-1</v>
      </c>
      <c r="S9">
        <v>-1</v>
      </c>
      <c r="T9">
        <v>-1</v>
      </c>
      <c r="U9">
        <v>-1</v>
      </c>
      <c r="V9">
        <v>-1</v>
      </c>
      <c r="AZ9" s="1"/>
    </row>
    <row r="10" spans="1:60">
      <c r="D10">
        <f>AVERAGE(D1:D9)</f>
        <v>2.6</v>
      </c>
      <c r="E10">
        <f>AVERAGE(E1:E9)</f>
        <v>1.8</v>
      </c>
      <c r="F10">
        <f>AVERAGE(F1:F9)</f>
        <v>3.75</v>
      </c>
      <c r="G10">
        <f>AVERAGE(G1:G9)</f>
        <v>4.25</v>
      </c>
      <c r="M10">
        <f>SUM(M1:M9)</f>
        <v>1</v>
      </c>
      <c r="AZ10" s="1"/>
    </row>
    <row r="11" spans="1:60">
      <c r="AZ11" s="1"/>
    </row>
    <row r="12" spans="1:60">
      <c r="AZ12" s="1"/>
      <c r="BH12" t="s">
        <v>6</v>
      </c>
    </row>
    <row r="13" spans="1:60">
      <c r="A13">
        <f>A1</f>
        <v>5</v>
      </c>
      <c r="B13">
        <f>B1</f>
        <v>2</v>
      </c>
      <c r="C13" t="str">
        <f>L1</f>
        <v>A</v>
      </c>
      <c r="D13">
        <f>IF($C13="A",A13,"")</f>
        <v>5</v>
      </c>
      <c r="E13">
        <f>IF($C13="A",B13,"")</f>
        <v>2</v>
      </c>
      <c r="F13" t="str">
        <f>IF($C13="B",A13,"")</f>
        <v/>
      </c>
      <c r="G13" t="str">
        <f>IF($C13="B",B13,"")</f>
        <v/>
      </c>
      <c r="H13">
        <f>D22</f>
        <v>2.3333333333333335</v>
      </c>
      <c r="I13">
        <f>E22</f>
        <v>2.1666666666666665</v>
      </c>
      <c r="J13">
        <f t="shared" ref="J13:J21" si="7">SQRT((A13-D$22)^2+(B13-E$22)^2)</f>
        <v>2.6718699236468995</v>
      </c>
      <c r="K13">
        <f t="shared" ref="K13:K21" si="8">SQRT((A13-F$22)^2+(B13-G$22)^2)</f>
        <v>2.3570226039551581</v>
      </c>
      <c r="L13" t="str">
        <f>IF(J13&lt;K13,"A","B")</f>
        <v>B</v>
      </c>
      <c r="M13">
        <f t="shared" ref="M13:M21" si="9">IF(C13=L13,0,1)</f>
        <v>1</v>
      </c>
      <c r="O13">
        <f t="shared" ref="O13:R21" si="10">IF(D13&lt;&gt;"",D13,-1)</f>
        <v>5</v>
      </c>
      <c r="P13">
        <f t="shared" si="10"/>
        <v>2</v>
      </c>
      <c r="Q13">
        <f t="shared" si="10"/>
        <v>-1</v>
      </c>
      <c r="R13">
        <f t="shared" si="10"/>
        <v>-1</v>
      </c>
      <c r="S13">
        <f>D22</f>
        <v>2.3333333333333335</v>
      </c>
      <c r="T13">
        <f>E22</f>
        <v>2.1666666666666665</v>
      </c>
      <c r="U13">
        <f>F22</f>
        <v>4.666666666666667</v>
      </c>
      <c r="V13">
        <f>G22</f>
        <v>4.333333333333333</v>
      </c>
      <c r="AZ13" s="1"/>
    </row>
    <row r="14" spans="1:60">
      <c r="A14">
        <f t="shared" ref="A14:B21" si="11">A2</f>
        <v>3</v>
      </c>
      <c r="B14">
        <f t="shared" si="11"/>
        <v>2</v>
      </c>
      <c r="C14" t="str">
        <f t="shared" ref="C14:C21" si="12">L2</f>
        <v>A</v>
      </c>
      <c r="D14">
        <f t="shared" ref="D14:E21" si="13">IF($C14="A",A14,"")</f>
        <v>3</v>
      </c>
      <c r="E14">
        <f t="shared" si="13"/>
        <v>2</v>
      </c>
      <c r="F14" t="str">
        <f t="shared" ref="F14:G21" si="14">IF($C14="B",A14,"")</f>
        <v/>
      </c>
      <c r="G14" t="str">
        <f t="shared" si="14"/>
        <v/>
      </c>
      <c r="H14">
        <f>F22</f>
        <v>4.666666666666667</v>
      </c>
      <c r="I14">
        <f>G22</f>
        <v>4.333333333333333</v>
      </c>
      <c r="J14">
        <f t="shared" si="7"/>
        <v>0.68718427093627654</v>
      </c>
      <c r="K14">
        <f t="shared" si="8"/>
        <v>2.8674417556808756</v>
      </c>
      <c r="L14" t="str">
        <f t="shared" ref="L14:L21" si="15">IF(J14&lt;K14,"A","B")</f>
        <v>A</v>
      </c>
      <c r="M14">
        <f t="shared" si="9"/>
        <v>0</v>
      </c>
      <c r="O14">
        <f t="shared" si="10"/>
        <v>3</v>
      </c>
      <c r="P14">
        <f t="shared" si="10"/>
        <v>2</v>
      </c>
      <c r="Q14">
        <f t="shared" si="10"/>
        <v>-1</v>
      </c>
      <c r="R14">
        <f t="shared" si="10"/>
        <v>-1</v>
      </c>
      <c r="S14">
        <v>-1</v>
      </c>
      <c r="T14">
        <v>-1</v>
      </c>
      <c r="U14">
        <v>-1</v>
      </c>
      <c r="V14">
        <v>-1</v>
      </c>
      <c r="AZ14" s="1"/>
    </row>
    <row r="15" spans="1:60">
      <c r="A15">
        <f t="shared" si="11"/>
        <v>1</v>
      </c>
      <c r="B15">
        <f t="shared" si="11"/>
        <v>1</v>
      </c>
      <c r="C15" t="str">
        <f t="shared" si="12"/>
        <v>A</v>
      </c>
      <c r="D15">
        <f t="shared" si="13"/>
        <v>1</v>
      </c>
      <c r="E15">
        <f t="shared" si="13"/>
        <v>1</v>
      </c>
      <c r="F15" t="str">
        <f t="shared" si="14"/>
        <v/>
      </c>
      <c r="G15" t="str">
        <f t="shared" si="14"/>
        <v/>
      </c>
      <c r="J15">
        <f t="shared" si="7"/>
        <v>1.7716909687891083</v>
      </c>
      <c r="K15">
        <f t="shared" si="8"/>
        <v>4.9553562491061687</v>
      </c>
      <c r="L15" t="str">
        <f t="shared" si="15"/>
        <v>A</v>
      </c>
      <c r="M15">
        <f t="shared" si="9"/>
        <v>0</v>
      </c>
      <c r="O15">
        <f t="shared" si="10"/>
        <v>1</v>
      </c>
      <c r="P15">
        <f t="shared" si="10"/>
        <v>1</v>
      </c>
      <c r="Q15">
        <f t="shared" si="10"/>
        <v>-1</v>
      </c>
      <c r="R15">
        <f t="shared" si="10"/>
        <v>-1</v>
      </c>
      <c r="S15">
        <v>-1</v>
      </c>
      <c r="T15">
        <v>-1</v>
      </c>
      <c r="U15">
        <v>-1</v>
      </c>
      <c r="V15">
        <v>-1</v>
      </c>
      <c r="AZ15" s="1"/>
    </row>
    <row r="16" spans="1:60">
      <c r="A16">
        <f t="shared" si="11"/>
        <v>5</v>
      </c>
      <c r="B16">
        <f t="shared" si="11"/>
        <v>4</v>
      </c>
      <c r="C16" t="str">
        <f t="shared" si="12"/>
        <v>B</v>
      </c>
      <c r="D16" t="str">
        <f t="shared" si="13"/>
        <v/>
      </c>
      <c r="E16" t="str">
        <f t="shared" si="13"/>
        <v/>
      </c>
      <c r="F16">
        <f t="shared" si="14"/>
        <v>5</v>
      </c>
      <c r="G16">
        <f t="shared" si="14"/>
        <v>4</v>
      </c>
      <c r="J16">
        <f t="shared" si="7"/>
        <v>3.2360813064912666</v>
      </c>
      <c r="K16">
        <f t="shared" si="8"/>
        <v>0.47140452079103123</v>
      </c>
      <c r="L16" t="str">
        <f t="shared" si="15"/>
        <v>B</v>
      </c>
      <c r="M16">
        <f t="shared" si="9"/>
        <v>0</v>
      </c>
      <c r="O16">
        <f t="shared" si="10"/>
        <v>-1</v>
      </c>
      <c r="P16">
        <f t="shared" si="10"/>
        <v>-1</v>
      </c>
      <c r="Q16">
        <f t="shared" si="10"/>
        <v>5</v>
      </c>
      <c r="R16">
        <f t="shared" si="10"/>
        <v>4</v>
      </c>
      <c r="S16">
        <v>-1</v>
      </c>
      <c r="T16">
        <v>-1</v>
      </c>
      <c r="U16">
        <v>-1</v>
      </c>
      <c r="V16">
        <v>-1</v>
      </c>
      <c r="AZ16" s="1"/>
    </row>
    <row r="17" spans="1:52">
      <c r="A17">
        <f t="shared" si="11"/>
        <v>5</v>
      </c>
      <c r="B17">
        <f t="shared" si="11"/>
        <v>5</v>
      </c>
      <c r="C17" t="str">
        <f t="shared" si="12"/>
        <v>B</v>
      </c>
      <c r="D17" t="str">
        <f t="shared" si="13"/>
        <v/>
      </c>
      <c r="E17" t="str">
        <f t="shared" si="13"/>
        <v/>
      </c>
      <c r="F17">
        <f t="shared" si="14"/>
        <v>5</v>
      </c>
      <c r="G17">
        <f t="shared" si="14"/>
        <v>5</v>
      </c>
      <c r="J17">
        <f t="shared" si="7"/>
        <v>3.8908725099762509</v>
      </c>
      <c r="K17">
        <f t="shared" si="8"/>
        <v>0.74535599249993001</v>
      </c>
      <c r="L17" t="str">
        <f t="shared" si="15"/>
        <v>B</v>
      </c>
      <c r="M17">
        <f t="shared" si="9"/>
        <v>0</v>
      </c>
      <c r="O17">
        <f t="shared" si="10"/>
        <v>-1</v>
      </c>
      <c r="P17">
        <f t="shared" si="10"/>
        <v>-1</v>
      </c>
      <c r="Q17">
        <f t="shared" si="10"/>
        <v>5</v>
      </c>
      <c r="R17">
        <f t="shared" si="10"/>
        <v>5</v>
      </c>
      <c r="S17">
        <v>-1</v>
      </c>
      <c r="T17">
        <v>-1</v>
      </c>
      <c r="U17">
        <v>-1</v>
      </c>
      <c r="V17">
        <v>-1</v>
      </c>
    </row>
    <row r="18" spans="1:52">
      <c r="A18">
        <f t="shared" si="11"/>
        <v>1</v>
      </c>
      <c r="B18">
        <f t="shared" si="11"/>
        <v>4</v>
      </c>
      <c r="C18" t="str">
        <f t="shared" si="12"/>
        <v>A</v>
      </c>
      <c r="D18">
        <f t="shared" si="13"/>
        <v>1</v>
      </c>
      <c r="E18">
        <f t="shared" si="13"/>
        <v>4</v>
      </c>
      <c r="F18" t="str">
        <f t="shared" si="14"/>
        <v/>
      </c>
      <c r="G18" t="str">
        <f t="shared" si="14"/>
        <v/>
      </c>
      <c r="J18">
        <f t="shared" si="7"/>
        <v>2.2669117514559072</v>
      </c>
      <c r="K18">
        <f t="shared" si="8"/>
        <v>3.6817870057290873</v>
      </c>
      <c r="L18" t="str">
        <f t="shared" si="15"/>
        <v>A</v>
      </c>
      <c r="M18">
        <f t="shared" si="9"/>
        <v>0</v>
      </c>
      <c r="O18">
        <f t="shared" si="10"/>
        <v>1</v>
      </c>
      <c r="P18">
        <f t="shared" si="10"/>
        <v>4</v>
      </c>
      <c r="Q18">
        <f t="shared" si="10"/>
        <v>-1</v>
      </c>
      <c r="R18">
        <f t="shared" si="10"/>
        <v>-1</v>
      </c>
      <c r="S18">
        <v>-1</v>
      </c>
      <c r="T18">
        <v>-1</v>
      </c>
      <c r="U18">
        <v>-1</v>
      </c>
      <c r="V18">
        <v>-1</v>
      </c>
    </row>
    <row r="19" spans="1:52">
      <c r="A19">
        <f t="shared" si="11"/>
        <v>4</v>
      </c>
      <c r="B19">
        <f t="shared" si="11"/>
        <v>4</v>
      </c>
      <c r="C19" t="str">
        <f t="shared" si="12"/>
        <v>B</v>
      </c>
      <c r="D19" t="str">
        <f t="shared" si="13"/>
        <v/>
      </c>
      <c r="E19" t="str">
        <f t="shared" si="13"/>
        <v/>
      </c>
      <c r="F19">
        <f t="shared" si="14"/>
        <v>4</v>
      </c>
      <c r="G19">
        <f t="shared" si="14"/>
        <v>4</v>
      </c>
      <c r="J19">
        <f t="shared" si="7"/>
        <v>2.4776781245530843</v>
      </c>
      <c r="K19">
        <f t="shared" si="8"/>
        <v>0.74535599249993001</v>
      </c>
      <c r="L19" t="str">
        <f t="shared" si="15"/>
        <v>B</v>
      </c>
      <c r="M19">
        <f t="shared" si="9"/>
        <v>0</v>
      </c>
      <c r="O19">
        <f t="shared" si="10"/>
        <v>-1</v>
      </c>
      <c r="P19">
        <f t="shared" si="10"/>
        <v>-1</v>
      </c>
      <c r="Q19">
        <f t="shared" si="10"/>
        <v>4</v>
      </c>
      <c r="R19">
        <f t="shared" si="10"/>
        <v>4</v>
      </c>
      <c r="S19">
        <v>-1</v>
      </c>
      <c r="T19">
        <v>-1</v>
      </c>
      <c r="U19">
        <v>-1</v>
      </c>
      <c r="V19">
        <v>-1</v>
      </c>
    </row>
    <row r="20" spans="1:52">
      <c r="A20">
        <f t="shared" si="11"/>
        <v>2</v>
      </c>
      <c r="B20">
        <f t="shared" si="11"/>
        <v>3</v>
      </c>
      <c r="C20" t="str">
        <f t="shared" si="12"/>
        <v>A</v>
      </c>
      <c r="D20">
        <f t="shared" si="13"/>
        <v>2</v>
      </c>
      <c r="E20">
        <f t="shared" si="13"/>
        <v>3</v>
      </c>
      <c r="F20" t="str">
        <f t="shared" si="14"/>
        <v/>
      </c>
      <c r="G20" t="str">
        <f t="shared" si="14"/>
        <v/>
      </c>
      <c r="J20">
        <f t="shared" si="7"/>
        <v>0.89752746785575077</v>
      </c>
      <c r="K20">
        <f t="shared" si="8"/>
        <v>2.9814239699997196</v>
      </c>
      <c r="L20" t="str">
        <f t="shared" si="15"/>
        <v>A</v>
      </c>
      <c r="M20">
        <f t="shared" si="9"/>
        <v>0</v>
      </c>
      <c r="O20">
        <f t="shared" si="10"/>
        <v>2</v>
      </c>
      <c r="P20">
        <f t="shared" si="10"/>
        <v>3</v>
      </c>
      <c r="Q20">
        <f t="shared" si="10"/>
        <v>-1</v>
      </c>
      <c r="R20">
        <f t="shared" si="10"/>
        <v>-1</v>
      </c>
      <c r="S20">
        <v>-1</v>
      </c>
      <c r="T20">
        <v>-1</v>
      </c>
      <c r="U20">
        <v>-1</v>
      </c>
      <c r="V20">
        <v>-1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52">
      <c r="A21">
        <f t="shared" si="11"/>
        <v>2</v>
      </c>
      <c r="B21">
        <f t="shared" si="11"/>
        <v>1</v>
      </c>
      <c r="C21" t="str">
        <f t="shared" si="12"/>
        <v>A</v>
      </c>
      <c r="D21">
        <f t="shared" si="13"/>
        <v>2</v>
      </c>
      <c r="E21">
        <f t="shared" si="13"/>
        <v>1</v>
      </c>
      <c r="F21" t="str">
        <f t="shared" si="14"/>
        <v/>
      </c>
      <c r="G21" t="str">
        <f t="shared" si="14"/>
        <v/>
      </c>
      <c r="J21">
        <f t="shared" si="7"/>
        <v>1.2133516482134197</v>
      </c>
      <c r="K21">
        <f t="shared" si="8"/>
        <v>4.2687494916218993</v>
      </c>
      <c r="L21" t="str">
        <f t="shared" si="15"/>
        <v>A</v>
      </c>
      <c r="M21">
        <f t="shared" si="9"/>
        <v>0</v>
      </c>
      <c r="O21">
        <f t="shared" si="10"/>
        <v>2</v>
      </c>
      <c r="P21">
        <f t="shared" si="10"/>
        <v>1</v>
      </c>
      <c r="Q21">
        <f t="shared" si="10"/>
        <v>-1</v>
      </c>
      <c r="R21">
        <f t="shared" si="10"/>
        <v>-1</v>
      </c>
      <c r="S21">
        <v>-1</v>
      </c>
      <c r="T21">
        <v>-1</v>
      </c>
      <c r="U21">
        <v>-1</v>
      </c>
      <c r="V21">
        <v>-1</v>
      </c>
    </row>
    <row r="22" spans="1:52">
      <c r="D22">
        <f>AVERAGE(D13:D21)</f>
        <v>2.3333333333333335</v>
      </c>
      <c r="E22">
        <f>AVERAGE(E13:E21)</f>
        <v>2.1666666666666665</v>
      </c>
      <c r="F22">
        <f>AVERAGE(F13:F21)</f>
        <v>4.666666666666667</v>
      </c>
      <c r="G22">
        <f>AVERAGE(G13:G21)</f>
        <v>4.333333333333333</v>
      </c>
      <c r="M22">
        <f>SUM(M13:M21)</f>
        <v>1</v>
      </c>
    </row>
    <row r="24" spans="1:52">
      <c r="AZ24" s="2"/>
    </row>
    <row r="25" spans="1:52">
      <c r="A25">
        <f>A13</f>
        <v>5</v>
      </c>
      <c r="B25">
        <f>B13</f>
        <v>2</v>
      </c>
      <c r="C25" t="str">
        <f>L13</f>
        <v>B</v>
      </c>
      <c r="D25" t="str">
        <f>IF($C25="A",A25,"")</f>
        <v/>
      </c>
      <c r="E25" t="str">
        <f>IF($C25="A",B25,"")</f>
        <v/>
      </c>
      <c r="F25">
        <f>IF($C25="B",A25,"")</f>
        <v>5</v>
      </c>
      <c r="G25">
        <f>IF($C25="B",B25,"")</f>
        <v>2</v>
      </c>
      <c r="H25">
        <f>D34</f>
        <v>1.8</v>
      </c>
      <c r="I25">
        <f>E34</f>
        <v>2.2000000000000002</v>
      </c>
      <c r="J25">
        <f t="shared" ref="J25:J33" si="16">SQRT((A25-D$34)^2+(B25-E$34)^2)</f>
        <v>3.2062439083762797</v>
      </c>
      <c r="K25">
        <f t="shared" ref="K25:K33" si="17">SQRT((A25-F$34)^2+(B25-G$34)^2)</f>
        <v>1.7677669529663689</v>
      </c>
      <c r="L25" t="str">
        <f>IF(J25&lt;K25,"A","B")</f>
        <v>B</v>
      </c>
      <c r="M25">
        <f t="shared" ref="M25:M33" si="18">IF(C25=L25,0,1)</f>
        <v>0</v>
      </c>
      <c r="O25">
        <f>IF(D25&lt;&gt;"",D25,-1)</f>
        <v>-1</v>
      </c>
      <c r="P25">
        <f>IF(E25&lt;&gt;"",E25,-1)</f>
        <v>-1</v>
      </c>
      <c r="Q25">
        <f>IF(F25&lt;&gt;"",F25,-1)</f>
        <v>5</v>
      </c>
      <c r="R25">
        <f>IF(G25&lt;&gt;"",G25,-1)</f>
        <v>2</v>
      </c>
      <c r="S25">
        <f>D34</f>
        <v>1.8</v>
      </c>
      <c r="T25">
        <f>E34</f>
        <v>2.2000000000000002</v>
      </c>
      <c r="U25">
        <f>F34</f>
        <v>4.75</v>
      </c>
      <c r="V25">
        <f>G34</f>
        <v>3.75</v>
      </c>
      <c r="AZ25" s="2"/>
    </row>
    <row r="26" spans="1:52">
      <c r="A26">
        <f t="shared" ref="A26:B33" si="19">A14</f>
        <v>3</v>
      </c>
      <c r="B26">
        <f t="shared" si="19"/>
        <v>2</v>
      </c>
      <c r="C26" t="str">
        <f t="shared" ref="C26:C33" si="20">L14</f>
        <v>A</v>
      </c>
      <c r="D26">
        <f t="shared" ref="D26:E33" si="21">IF($C26="A",A26,"")</f>
        <v>3</v>
      </c>
      <c r="E26">
        <f t="shared" si="21"/>
        <v>2</v>
      </c>
      <c r="F26" t="str">
        <f t="shared" ref="F26:G33" si="22">IF($C26="B",A26,"")</f>
        <v/>
      </c>
      <c r="G26" t="str">
        <f t="shared" si="22"/>
        <v/>
      </c>
      <c r="H26">
        <f>F34</f>
        <v>4.75</v>
      </c>
      <c r="I26">
        <f>G34</f>
        <v>3.75</v>
      </c>
      <c r="J26">
        <f t="shared" si="16"/>
        <v>1.2165525060596438</v>
      </c>
      <c r="K26">
        <f t="shared" si="17"/>
        <v>2.4748737341529163</v>
      </c>
      <c r="L26" t="str">
        <f t="shared" ref="L26:L33" si="23">IF(J26&lt;K26,"A","B")</f>
        <v>A</v>
      </c>
      <c r="M26">
        <f t="shared" si="18"/>
        <v>0</v>
      </c>
      <c r="O26">
        <f t="shared" ref="O26:R33" si="24">IF(D26&lt;&gt;"",D26,-1)</f>
        <v>3</v>
      </c>
      <c r="P26">
        <f t="shared" si="24"/>
        <v>2</v>
      </c>
      <c r="Q26">
        <f t="shared" si="24"/>
        <v>-1</v>
      </c>
      <c r="R26">
        <f t="shared" si="24"/>
        <v>-1</v>
      </c>
      <c r="S26">
        <v>-1</v>
      </c>
      <c r="T26">
        <v>-1</v>
      </c>
      <c r="U26">
        <v>-1</v>
      </c>
      <c r="V26">
        <v>-1</v>
      </c>
      <c r="AZ26" s="2"/>
    </row>
    <row r="27" spans="1:52">
      <c r="A27">
        <f t="shared" si="19"/>
        <v>1</v>
      </c>
      <c r="B27">
        <f t="shared" si="19"/>
        <v>1</v>
      </c>
      <c r="C27" t="str">
        <f t="shared" si="20"/>
        <v>A</v>
      </c>
      <c r="D27">
        <f t="shared" si="21"/>
        <v>1</v>
      </c>
      <c r="E27">
        <f t="shared" si="21"/>
        <v>1</v>
      </c>
      <c r="F27" t="str">
        <f t="shared" si="22"/>
        <v/>
      </c>
      <c r="G27" t="str">
        <f t="shared" si="22"/>
        <v/>
      </c>
      <c r="J27">
        <f t="shared" si="16"/>
        <v>1.4422205101855958</v>
      </c>
      <c r="K27">
        <f t="shared" si="17"/>
        <v>4.6502688094345688</v>
      </c>
      <c r="L27" t="str">
        <f t="shared" si="23"/>
        <v>A</v>
      </c>
      <c r="M27">
        <f t="shared" si="18"/>
        <v>0</v>
      </c>
      <c r="O27">
        <f t="shared" si="24"/>
        <v>1</v>
      </c>
      <c r="P27">
        <f t="shared" si="24"/>
        <v>1</v>
      </c>
      <c r="Q27">
        <f t="shared" si="24"/>
        <v>-1</v>
      </c>
      <c r="R27">
        <f t="shared" si="24"/>
        <v>-1</v>
      </c>
      <c r="S27">
        <v>-1</v>
      </c>
      <c r="T27">
        <v>-1</v>
      </c>
      <c r="U27">
        <v>-1</v>
      </c>
      <c r="V27">
        <v>-1</v>
      </c>
      <c r="AZ27" s="2"/>
    </row>
    <row r="28" spans="1:52">
      <c r="A28">
        <f t="shared" si="19"/>
        <v>5</v>
      </c>
      <c r="B28">
        <f t="shared" si="19"/>
        <v>4</v>
      </c>
      <c r="C28" t="str">
        <f t="shared" si="20"/>
        <v>B</v>
      </c>
      <c r="D28" t="str">
        <f t="shared" si="21"/>
        <v/>
      </c>
      <c r="E28" t="str">
        <f t="shared" si="21"/>
        <v/>
      </c>
      <c r="F28">
        <f t="shared" si="22"/>
        <v>5</v>
      </c>
      <c r="G28">
        <f t="shared" si="22"/>
        <v>4</v>
      </c>
      <c r="J28">
        <f t="shared" si="16"/>
        <v>3.6715119501371638</v>
      </c>
      <c r="K28">
        <f t="shared" si="17"/>
        <v>0.35355339059327379</v>
      </c>
      <c r="L28" t="str">
        <f t="shared" si="23"/>
        <v>B</v>
      </c>
      <c r="M28">
        <f t="shared" si="18"/>
        <v>0</v>
      </c>
      <c r="O28">
        <f t="shared" si="24"/>
        <v>-1</v>
      </c>
      <c r="P28">
        <f t="shared" si="24"/>
        <v>-1</v>
      </c>
      <c r="Q28">
        <f t="shared" si="24"/>
        <v>5</v>
      </c>
      <c r="R28">
        <f t="shared" si="24"/>
        <v>4</v>
      </c>
      <c r="S28">
        <v>-1</v>
      </c>
      <c r="T28">
        <v>-1</v>
      </c>
      <c r="U28">
        <v>-1</v>
      </c>
      <c r="V28">
        <v>-1</v>
      </c>
    </row>
    <row r="29" spans="1:52">
      <c r="A29">
        <f t="shared" si="19"/>
        <v>5</v>
      </c>
      <c r="B29">
        <f t="shared" si="19"/>
        <v>5</v>
      </c>
      <c r="C29" t="str">
        <f t="shared" si="20"/>
        <v>B</v>
      </c>
      <c r="D29" t="str">
        <f t="shared" si="21"/>
        <v/>
      </c>
      <c r="E29" t="str">
        <f t="shared" si="21"/>
        <v/>
      </c>
      <c r="F29">
        <f t="shared" si="22"/>
        <v>5</v>
      </c>
      <c r="G29">
        <f t="shared" si="22"/>
        <v>5</v>
      </c>
      <c r="J29">
        <f t="shared" si="16"/>
        <v>4.2520583250938602</v>
      </c>
      <c r="K29">
        <f t="shared" si="17"/>
        <v>1.2747548783981961</v>
      </c>
      <c r="L29" t="str">
        <f t="shared" si="23"/>
        <v>B</v>
      </c>
      <c r="M29">
        <f t="shared" si="18"/>
        <v>0</v>
      </c>
      <c r="O29">
        <f t="shared" si="24"/>
        <v>-1</v>
      </c>
      <c r="P29">
        <f t="shared" si="24"/>
        <v>-1</v>
      </c>
      <c r="Q29">
        <f t="shared" si="24"/>
        <v>5</v>
      </c>
      <c r="R29">
        <f t="shared" si="24"/>
        <v>5</v>
      </c>
      <c r="S29">
        <v>-1</v>
      </c>
      <c r="T29">
        <v>-1</v>
      </c>
      <c r="U29">
        <v>-1</v>
      </c>
      <c r="V29">
        <v>-1</v>
      </c>
    </row>
    <row r="30" spans="1:52">
      <c r="A30">
        <f t="shared" si="19"/>
        <v>1</v>
      </c>
      <c r="B30">
        <f t="shared" si="19"/>
        <v>4</v>
      </c>
      <c r="C30" t="str">
        <f t="shared" si="20"/>
        <v>A</v>
      </c>
      <c r="D30">
        <f t="shared" si="21"/>
        <v>1</v>
      </c>
      <c r="E30">
        <f t="shared" si="21"/>
        <v>4</v>
      </c>
      <c r="F30" t="str">
        <f t="shared" si="22"/>
        <v/>
      </c>
      <c r="G30" t="str">
        <f t="shared" si="22"/>
        <v/>
      </c>
      <c r="J30">
        <f t="shared" si="16"/>
        <v>1.9697715603592207</v>
      </c>
      <c r="K30">
        <f t="shared" si="17"/>
        <v>3.758324094593227</v>
      </c>
      <c r="L30" t="str">
        <f t="shared" si="23"/>
        <v>A</v>
      </c>
      <c r="M30">
        <f t="shared" si="18"/>
        <v>0</v>
      </c>
      <c r="O30">
        <f t="shared" si="24"/>
        <v>1</v>
      </c>
      <c r="P30">
        <f t="shared" si="24"/>
        <v>4</v>
      </c>
      <c r="Q30">
        <f t="shared" si="24"/>
        <v>-1</v>
      </c>
      <c r="R30">
        <f t="shared" si="24"/>
        <v>-1</v>
      </c>
      <c r="S30">
        <v>-1</v>
      </c>
      <c r="T30">
        <v>-1</v>
      </c>
      <c r="U30">
        <v>-1</v>
      </c>
      <c r="V30">
        <v>-1</v>
      </c>
    </row>
    <row r="31" spans="1:52">
      <c r="A31">
        <f t="shared" si="19"/>
        <v>4</v>
      </c>
      <c r="B31">
        <f t="shared" si="19"/>
        <v>4</v>
      </c>
      <c r="C31" t="str">
        <f t="shared" si="20"/>
        <v>B</v>
      </c>
      <c r="D31" t="str">
        <f t="shared" si="21"/>
        <v/>
      </c>
      <c r="E31" t="str">
        <f t="shared" si="21"/>
        <v/>
      </c>
      <c r="F31">
        <f t="shared" si="22"/>
        <v>4</v>
      </c>
      <c r="G31">
        <f t="shared" si="22"/>
        <v>4</v>
      </c>
      <c r="J31">
        <f t="shared" si="16"/>
        <v>2.8425340807103789</v>
      </c>
      <c r="K31">
        <f t="shared" si="17"/>
        <v>0.79056941504209488</v>
      </c>
      <c r="L31" t="str">
        <f t="shared" si="23"/>
        <v>B</v>
      </c>
      <c r="M31">
        <f t="shared" si="18"/>
        <v>0</v>
      </c>
      <c r="O31">
        <f t="shared" si="24"/>
        <v>-1</v>
      </c>
      <c r="P31">
        <f t="shared" si="24"/>
        <v>-1</v>
      </c>
      <c r="Q31">
        <f t="shared" si="24"/>
        <v>4</v>
      </c>
      <c r="R31">
        <f t="shared" si="24"/>
        <v>4</v>
      </c>
      <c r="S31">
        <v>-1</v>
      </c>
      <c r="T31">
        <v>-1</v>
      </c>
      <c r="U31">
        <v>-1</v>
      </c>
      <c r="V31">
        <v>-1</v>
      </c>
    </row>
    <row r="32" spans="1:52">
      <c r="A32">
        <f t="shared" si="19"/>
        <v>2</v>
      </c>
      <c r="B32">
        <f t="shared" si="19"/>
        <v>3</v>
      </c>
      <c r="C32" t="str">
        <f t="shared" si="20"/>
        <v>A</v>
      </c>
      <c r="D32">
        <f t="shared" si="21"/>
        <v>2</v>
      </c>
      <c r="E32">
        <f t="shared" si="21"/>
        <v>3</v>
      </c>
      <c r="F32" t="str">
        <f t="shared" si="22"/>
        <v/>
      </c>
      <c r="G32" t="str">
        <f t="shared" si="22"/>
        <v/>
      </c>
      <c r="J32">
        <f t="shared" si="16"/>
        <v>0.82462112512353192</v>
      </c>
      <c r="K32">
        <f t="shared" si="17"/>
        <v>2.8504385627478448</v>
      </c>
      <c r="L32" t="str">
        <f t="shared" si="23"/>
        <v>A</v>
      </c>
      <c r="M32">
        <f t="shared" si="18"/>
        <v>0</v>
      </c>
      <c r="O32">
        <f t="shared" si="24"/>
        <v>2</v>
      </c>
      <c r="P32">
        <f t="shared" si="24"/>
        <v>3</v>
      </c>
      <c r="Q32">
        <f t="shared" si="24"/>
        <v>-1</v>
      </c>
      <c r="R32">
        <f t="shared" si="24"/>
        <v>-1</v>
      </c>
      <c r="S32">
        <v>-1</v>
      </c>
      <c r="T32">
        <v>-1</v>
      </c>
      <c r="U32">
        <v>-1</v>
      </c>
      <c r="V32">
        <v>-1</v>
      </c>
    </row>
    <row r="33" spans="1:22">
      <c r="A33">
        <f t="shared" si="19"/>
        <v>2</v>
      </c>
      <c r="B33">
        <f t="shared" si="19"/>
        <v>1</v>
      </c>
      <c r="C33" t="str">
        <f t="shared" si="20"/>
        <v>A</v>
      </c>
      <c r="D33">
        <f t="shared" si="21"/>
        <v>2</v>
      </c>
      <c r="E33">
        <f t="shared" si="21"/>
        <v>1</v>
      </c>
      <c r="F33" t="str">
        <f t="shared" si="22"/>
        <v/>
      </c>
      <c r="G33" t="str">
        <f t="shared" si="22"/>
        <v/>
      </c>
      <c r="J33">
        <f t="shared" si="16"/>
        <v>1.216552506059644</v>
      </c>
      <c r="K33">
        <f t="shared" si="17"/>
        <v>3.8890872965260113</v>
      </c>
      <c r="L33" t="str">
        <f t="shared" si="23"/>
        <v>A</v>
      </c>
      <c r="M33">
        <f t="shared" si="18"/>
        <v>0</v>
      </c>
      <c r="O33">
        <f t="shared" si="24"/>
        <v>2</v>
      </c>
      <c r="P33">
        <f t="shared" si="24"/>
        <v>1</v>
      </c>
      <c r="Q33">
        <f t="shared" si="24"/>
        <v>-1</v>
      </c>
      <c r="R33">
        <f t="shared" si="24"/>
        <v>-1</v>
      </c>
      <c r="S33">
        <v>-1</v>
      </c>
      <c r="T33">
        <v>-1</v>
      </c>
      <c r="U33">
        <v>-1</v>
      </c>
      <c r="V33">
        <v>-1</v>
      </c>
    </row>
    <row r="34" spans="1:22">
      <c r="D34">
        <f>AVERAGE(D25:D33)</f>
        <v>1.8</v>
      </c>
      <c r="E34">
        <f>AVERAGE(E25:E33)</f>
        <v>2.2000000000000002</v>
      </c>
      <c r="F34">
        <f>AVERAGE(F25:F33)</f>
        <v>4.75</v>
      </c>
      <c r="G34">
        <f>AVERAGE(G25:G33)</f>
        <v>3.75</v>
      </c>
      <c r="M34">
        <f>SUM(M25:M33)</f>
        <v>0</v>
      </c>
    </row>
    <row r="36" spans="1:22">
      <c r="A36">
        <f ca="1">RANDBETWEEN(1,5)</f>
        <v>1</v>
      </c>
      <c r="B36">
        <f ca="1">RANDBETWEEN(1,5)</f>
        <v>4</v>
      </c>
      <c r="F36">
        <v>5</v>
      </c>
      <c r="G36">
        <v>2</v>
      </c>
      <c r="L36">
        <v>4</v>
      </c>
      <c r="M36">
        <v>4</v>
      </c>
      <c r="N36" t="s">
        <v>0</v>
      </c>
      <c r="O36" t="s">
        <v>0</v>
      </c>
      <c r="Q36">
        <v>4</v>
      </c>
      <c r="R36">
        <v>4</v>
      </c>
    </row>
    <row r="37" spans="1:22">
      <c r="A37">
        <f t="shared" ref="A37:B44" ca="1" si="25">RANDBETWEEN(1,5)</f>
        <v>5</v>
      </c>
      <c r="B37">
        <f t="shared" ca="1" si="25"/>
        <v>1</v>
      </c>
      <c r="F37">
        <v>4</v>
      </c>
      <c r="G37">
        <v>1</v>
      </c>
      <c r="L37">
        <v>1</v>
      </c>
      <c r="M37">
        <v>5</v>
      </c>
      <c r="N37" t="s">
        <v>1</v>
      </c>
      <c r="O37" t="s">
        <v>0</v>
      </c>
      <c r="Q37">
        <v>2</v>
      </c>
      <c r="R37">
        <v>2</v>
      </c>
    </row>
    <row r="38" spans="1:22">
      <c r="A38">
        <f t="shared" ca="1" si="25"/>
        <v>5</v>
      </c>
      <c r="B38">
        <f t="shared" ca="1" si="25"/>
        <v>4</v>
      </c>
      <c r="F38">
        <v>1</v>
      </c>
      <c r="G38">
        <v>1</v>
      </c>
      <c r="L38">
        <v>3</v>
      </c>
      <c r="M38">
        <v>3</v>
      </c>
      <c r="N38" t="s">
        <v>1</v>
      </c>
      <c r="O38" t="s">
        <v>0</v>
      </c>
      <c r="Q38">
        <v>5</v>
      </c>
      <c r="R38">
        <v>1</v>
      </c>
    </row>
    <row r="39" spans="1:22">
      <c r="A39">
        <f t="shared" ca="1" si="25"/>
        <v>1</v>
      </c>
      <c r="B39">
        <f t="shared" ca="1" si="25"/>
        <v>2</v>
      </c>
      <c r="F39">
        <v>5</v>
      </c>
      <c r="G39">
        <v>4</v>
      </c>
      <c r="L39">
        <v>4</v>
      </c>
      <c r="M39">
        <v>4</v>
      </c>
      <c r="N39" t="s">
        <v>3</v>
      </c>
      <c r="O39" t="s">
        <v>0</v>
      </c>
      <c r="Q39">
        <v>1</v>
      </c>
      <c r="R39">
        <v>5</v>
      </c>
    </row>
    <row r="40" spans="1:22">
      <c r="A40">
        <f t="shared" ca="1" si="25"/>
        <v>3</v>
      </c>
      <c r="B40">
        <f t="shared" ca="1" si="25"/>
        <v>4</v>
      </c>
      <c r="F40">
        <v>5</v>
      </c>
      <c r="G40">
        <v>5</v>
      </c>
      <c r="L40">
        <v>2</v>
      </c>
      <c r="M40">
        <v>1</v>
      </c>
      <c r="N40" t="s">
        <v>3</v>
      </c>
      <c r="O40" t="s">
        <v>2</v>
      </c>
      <c r="Q40">
        <v>2</v>
      </c>
      <c r="R40">
        <v>1</v>
      </c>
    </row>
    <row r="41" spans="1:22">
      <c r="A41">
        <f t="shared" ca="1" si="25"/>
        <v>3</v>
      </c>
      <c r="B41">
        <f t="shared" ca="1" si="25"/>
        <v>3</v>
      </c>
      <c r="F41">
        <v>3</v>
      </c>
      <c r="G41">
        <v>4</v>
      </c>
      <c r="L41">
        <v>2</v>
      </c>
      <c r="M41">
        <v>2</v>
      </c>
      <c r="N41" t="s">
        <v>3</v>
      </c>
      <c r="O41" t="s">
        <v>2</v>
      </c>
      <c r="Q41">
        <v>4</v>
      </c>
      <c r="R41">
        <v>2</v>
      </c>
    </row>
    <row r="42" spans="1:22">
      <c r="A42">
        <f t="shared" ca="1" si="25"/>
        <v>3</v>
      </c>
      <c r="B42">
        <f t="shared" ca="1" si="25"/>
        <v>1</v>
      </c>
      <c r="F42">
        <v>4</v>
      </c>
      <c r="G42">
        <v>4</v>
      </c>
      <c r="L42">
        <v>1</v>
      </c>
      <c r="M42">
        <v>2</v>
      </c>
      <c r="N42" t="s">
        <v>4</v>
      </c>
      <c r="O42" t="s">
        <v>2</v>
      </c>
      <c r="Q42">
        <v>3</v>
      </c>
      <c r="R42">
        <v>3</v>
      </c>
    </row>
    <row r="43" spans="1:22">
      <c r="A43">
        <f t="shared" ca="1" si="25"/>
        <v>3</v>
      </c>
      <c r="B43">
        <f t="shared" ca="1" si="25"/>
        <v>5</v>
      </c>
      <c r="F43">
        <v>2</v>
      </c>
      <c r="G43">
        <v>3</v>
      </c>
      <c r="L43">
        <v>4</v>
      </c>
      <c r="M43">
        <v>2</v>
      </c>
      <c r="N43" t="s">
        <v>5</v>
      </c>
      <c r="O43" t="s">
        <v>4</v>
      </c>
      <c r="Q43">
        <v>4</v>
      </c>
      <c r="R43">
        <v>4</v>
      </c>
    </row>
    <row r="44" spans="1:22">
      <c r="A44">
        <f t="shared" ca="1" si="25"/>
        <v>3</v>
      </c>
      <c r="B44">
        <f t="shared" ca="1" si="25"/>
        <v>3</v>
      </c>
      <c r="F44">
        <v>2</v>
      </c>
      <c r="G44">
        <v>1</v>
      </c>
      <c r="L44">
        <v>5</v>
      </c>
      <c r="M44">
        <v>1</v>
      </c>
      <c r="N44" t="s">
        <v>5</v>
      </c>
      <c r="O44" t="s">
        <v>4</v>
      </c>
      <c r="Q44">
        <v>1</v>
      </c>
      <c r="R44">
        <v>2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F388C-737D-492F-8C3C-10218A9ACCF5}">
  <dimension ref="A1:BT56"/>
  <sheetViews>
    <sheetView zoomScale="85" zoomScaleNormal="85" workbookViewId="0">
      <selection activeCell="D12" sqref="D12"/>
    </sheetView>
  </sheetViews>
  <sheetFormatPr defaultRowHeight="18"/>
  <cols>
    <col min="4" max="11" width="8.6640625" customWidth="1"/>
    <col min="26" max="61" width="3" customWidth="1"/>
    <col min="62" max="89" width="3.08203125" customWidth="1"/>
  </cols>
  <sheetData>
    <row r="1" spans="1:60">
      <c r="A1">
        <v>5</v>
      </c>
      <c r="B1">
        <v>2</v>
      </c>
      <c r="C1" t="s">
        <v>1</v>
      </c>
      <c r="D1">
        <f>IF($C1="A",A1,"")</f>
        <v>5</v>
      </c>
      <c r="E1">
        <f>IF($C1="A",B1,"")</f>
        <v>2</v>
      </c>
      <c r="F1" t="str">
        <f>IF($C1="B",A1,"")</f>
        <v/>
      </c>
      <c r="G1" t="str">
        <f>IF($C1="B",B1,"")</f>
        <v/>
      </c>
      <c r="H1">
        <f>D10</f>
        <v>2.6</v>
      </c>
      <c r="I1">
        <f>E10</f>
        <v>1.8</v>
      </c>
      <c r="J1">
        <f t="shared" ref="J1:J9" si="0">SQRT((A1-D$10)^2+(B1-E$10)^2)</f>
        <v>2.4083189157584592</v>
      </c>
      <c r="K1">
        <f t="shared" ref="K1:K9" si="1">SQRT((A1-F$10)^2+(B1-G$10)^2)</f>
        <v>2.5739075352467502</v>
      </c>
      <c r="L1" t="str">
        <f>IF(J1&lt;K1,"A","B")</f>
        <v>A</v>
      </c>
      <c r="M1">
        <f t="shared" ref="M1:M9" si="2">IF(C1=L1,0,1)</f>
        <v>0</v>
      </c>
      <c r="O1">
        <f t="shared" ref="O1:R9" si="3">IF(D1&lt;&gt;"",D1,-1)</f>
        <v>5</v>
      </c>
      <c r="P1">
        <f t="shared" si="3"/>
        <v>2</v>
      </c>
      <c r="Q1">
        <f t="shared" si="3"/>
        <v>-1</v>
      </c>
      <c r="R1">
        <f t="shared" si="3"/>
        <v>-1</v>
      </c>
      <c r="S1">
        <f>D10</f>
        <v>2.6</v>
      </c>
      <c r="T1">
        <f>E10</f>
        <v>1.8</v>
      </c>
      <c r="U1">
        <f>F10</f>
        <v>3.75</v>
      </c>
      <c r="V1">
        <f>G10</f>
        <v>4.25</v>
      </c>
    </row>
    <row r="2" spans="1:60">
      <c r="A2">
        <v>3</v>
      </c>
      <c r="B2">
        <v>2</v>
      </c>
      <c r="C2" t="s">
        <v>1</v>
      </c>
      <c r="D2">
        <f t="shared" ref="D2:E9" si="4">IF($C2="A",A2,"")</f>
        <v>3</v>
      </c>
      <c r="E2">
        <f t="shared" si="4"/>
        <v>2</v>
      </c>
      <c r="F2" t="str">
        <f t="shared" ref="F2:G9" si="5">IF($C2="B",A2,"")</f>
        <v/>
      </c>
      <c r="G2" t="str">
        <f t="shared" si="5"/>
        <v/>
      </c>
      <c r="H2">
        <f>F10</f>
        <v>3.75</v>
      </c>
      <c r="I2">
        <f>G10</f>
        <v>4.25</v>
      </c>
      <c r="J2">
        <f t="shared" si="0"/>
        <v>0.44721359549995782</v>
      </c>
      <c r="K2">
        <f t="shared" si="1"/>
        <v>2.3717082451262845</v>
      </c>
      <c r="L2" t="str">
        <f t="shared" ref="L2:L9" si="6">IF(J2&lt;K2,"A","B")</f>
        <v>A</v>
      </c>
      <c r="M2">
        <f t="shared" si="2"/>
        <v>0</v>
      </c>
      <c r="O2">
        <f t="shared" si="3"/>
        <v>3</v>
      </c>
      <c r="P2">
        <f t="shared" si="3"/>
        <v>2</v>
      </c>
      <c r="Q2">
        <f t="shared" si="3"/>
        <v>-1</v>
      </c>
      <c r="R2">
        <f t="shared" si="3"/>
        <v>-1</v>
      </c>
      <c r="S2">
        <v>-1</v>
      </c>
      <c r="T2">
        <v>-1</v>
      </c>
      <c r="U2">
        <v>-1</v>
      </c>
      <c r="V2">
        <v>-1</v>
      </c>
      <c r="AZ2" s="1"/>
    </row>
    <row r="3" spans="1:60">
      <c r="A3">
        <v>1</v>
      </c>
      <c r="B3">
        <v>1</v>
      </c>
      <c r="C3" t="s">
        <v>1</v>
      </c>
      <c r="D3">
        <f t="shared" si="4"/>
        <v>1</v>
      </c>
      <c r="E3">
        <f t="shared" si="4"/>
        <v>1</v>
      </c>
      <c r="F3" t="str">
        <f t="shared" si="5"/>
        <v/>
      </c>
      <c r="G3" t="str">
        <f t="shared" si="5"/>
        <v/>
      </c>
      <c r="J3">
        <f t="shared" si="0"/>
        <v>1.7888543819998319</v>
      </c>
      <c r="K3">
        <f t="shared" si="1"/>
        <v>4.2573465914816007</v>
      </c>
      <c r="L3" t="str">
        <f t="shared" si="6"/>
        <v>A</v>
      </c>
      <c r="M3">
        <f t="shared" si="2"/>
        <v>0</v>
      </c>
      <c r="O3">
        <f t="shared" si="3"/>
        <v>1</v>
      </c>
      <c r="P3">
        <f t="shared" si="3"/>
        <v>1</v>
      </c>
      <c r="Q3">
        <f t="shared" si="3"/>
        <v>-1</v>
      </c>
      <c r="R3">
        <f t="shared" si="3"/>
        <v>-1</v>
      </c>
      <c r="S3">
        <v>-1</v>
      </c>
      <c r="T3">
        <v>-1</v>
      </c>
      <c r="U3">
        <v>-1</v>
      </c>
      <c r="V3">
        <v>-1</v>
      </c>
      <c r="AZ3" s="1"/>
    </row>
    <row r="4" spans="1:60">
      <c r="A4">
        <v>2</v>
      </c>
      <c r="B4">
        <v>1</v>
      </c>
      <c r="C4" t="s">
        <v>1</v>
      </c>
      <c r="D4">
        <f t="shared" si="4"/>
        <v>2</v>
      </c>
      <c r="E4">
        <f t="shared" si="4"/>
        <v>1</v>
      </c>
      <c r="F4" t="str">
        <f t="shared" si="5"/>
        <v/>
      </c>
      <c r="G4" t="str">
        <f t="shared" si="5"/>
        <v/>
      </c>
      <c r="J4">
        <f t="shared" si="0"/>
        <v>1</v>
      </c>
      <c r="K4">
        <f t="shared" si="1"/>
        <v>3.6912057650583501</v>
      </c>
      <c r="L4" t="str">
        <f t="shared" si="6"/>
        <v>A</v>
      </c>
      <c r="M4">
        <f t="shared" si="2"/>
        <v>0</v>
      </c>
      <c r="O4">
        <f t="shared" si="3"/>
        <v>2</v>
      </c>
      <c r="P4">
        <f t="shared" si="3"/>
        <v>1</v>
      </c>
      <c r="Q4">
        <f t="shared" si="3"/>
        <v>-1</v>
      </c>
      <c r="R4">
        <f t="shared" si="3"/>
        <v>-1</v>
      </c>
      <c r="S4">
        <v>-1</v>
      </c>
      <c r="T4">
        <v>-1</v>
      </c>
      <c r="U4">
        <v>-1</v>
      </c>
      <c r="V4">
        <v>-1</v>
      </c>
      <c r="AZ4" s="1"/>
    </row>
    <row r="5" spans="1:60">
      <c r="A5">
        <v>2</v>
      </c>
      <c r="B5">
        <v>3</v>
      </c>
      <c r="C5" t="s">
        <v>1</v>
      </c>
      <c r="D5">
        <f t="shared" si="4"/>
        <v>2</v>
      </c>
      <c r="E5">
        <f t="shared" si="4"/>
        <v>3</v>
      </c>
      <c r="F5" t="str">
        <f t="shared" si="5"/>
        <v/>
      </c>
      <c r="G5" t="str">
        <f t="shared" si="5"/>
        <v/>
      </c>
      <c r="J5">
        <f t="shared" si="0"/>
        <v>1.3416407864998738</v>
      </c>
      <c r="K5">
        <f t="shared" si="1"/>
        <v>2.1505813167606567</v>
      </c>
      <c r="L5" t="str">
        <f t="shared" si="6"/>
        <v>A</v>
      </c>
      <c r="M5">
        <f t="shared" si="2"/>
        <v>0</v>
      </c>
      <c r="O5">
        <f t="shared" si="3"/>
        <v>2</v>
      </c>
      <c r="P5">
        <f t="shared" si="3"/>
        <v>3</v>
      </c>
      <c r="Q5">
        <f t="shared" si="3"/>
        <v>-1</v>
      </c>
      <c r="R5">
        <f t="shared" si="3"/>
        <v>-1</v>
      </c>
      <c r="S5">
        <v>-1</v>
      </c>
      <c r="T5">
        <v>-1</v>
      </c>
      <c r="U5">
        <v>-1</v>
      </c>
      <c r="V5">
        <v>-1</v>
      </c>
      <c r="AZ5" s="1"/>
    </row>
    <row r="6" spans="1:60">
      <c r="A6">
        <v>1</v>
      </c>
      <c r="B6">
        <v>4</v>
      </c>
      <c r="C6" t="s">
        <v>3</v>
      </c>
      <c r="D6" t="str">
        <f t="shared" si="4"/>
        <v/>
      </c>
      <c r="E6" t="str">
        <f t="shared" si="4"/>
        <v/>
      </c>
      <c r="F6">
        <f t="shared" si="5"/>
        <v>1</v>
      </c>
      <c r="G6">
        <f t="shared" si="5"/>
        <v>4</v>
      </c>
      <c r="J6">
        <f t="shared" si="0"/>
        <v>2.720294101747089</v>
      </c>
      <c r="K6">
        <f t="shared" si="1"/>
        <v>2.7613402542968153</v>
      </c>
      <c r="L6" t="str">
        <f t="shared" si="6"/>
        <v>A</v>
      </c>
      <c r="M6">
        <f t="shared" si="2"/>
        <v>1</v>
      </c>
      <c r="O6">
        <f t="shared" si="3"/>
        <v>-1</v>
      </c>
      <c r="P6">
        <f t="shared" si="3"/>
        <v>-1</v>
      </c>
      <c r="Q6">
        <f t="shared" si="3"/>
        <v>1</v>
      </c>
      <c r="R6">
        <f t="shared" si="3"/>
        <v>4</v>
      </c>
      <c r="S6">
        <v>-1</v>
      </c>
      <c r="T6">
        <v>-1</v>
      </c>
      <c r="U6">
        <v>-1</v>
      </c>
      <c r="V6">
        <v>-1</v>
      </c>
      <c r="AZ6" s="1"/>
    </row>
    <row r="7" spans="1:60">
      <c r="A7">
        <v>4</v>
      </c>
      <c r="B7">
        <v>4</v>
      </c>
      <c r="C7" t="s">
        <v>3</v>
      </c>
      <c r="D7" t="str">
        <f t="shared" si="4"/>
        <v/>
      </c>
      <c r="E7" t="str">
        <f t="shared" si="4"/>
        <v/>
      </c>
      <c r="F7">
        <f t="shared" si="5"/>
        <v>4</v>
      </c>
      <c r="G7">
        <f t="shared" si="5"/>
        <v>4</v>
      </c>
      <c r="J7">
        <f t="shared" si="0"/>
        <v>2.6076809620810595</v>
      </c>
      <c r="K7">
        <f t="shared" si="1"/>
        <v>0.35355339059327379</v>
      </c>
      <c r="L7" t="str">
        <f t="shared" si="6"/>
        <v>B</v>
      </c>
      <c r="M7">
        <f t="shared" si="2"/>
        <v>0</v>
      </c>
      <c r="O7">
        <f t="shared" si="3"/>
        <v>-1</v>
      </c>
      <c r="P7">
        <f t="shared" si="3"/>
        <v>-1</v>
      </c>
      <c r="Q7">
        <f t="shared" si="3"/>
        <v>4</v>
      </c>
      <c r="R7">
        <f t="shared" si="3"/>
        <v>4</v>
      </c>
      <c r="S7">
        <v>-1</v>
      </c>
      <c r="T7">
        <v>-1</v>
      </c>
      <c r="U7">
        <v>-1</v>
      </c>
      <c r="V7">
        <v>-1</v>
      </c>
      <c r="AZ7" s="1"/>
    </row>
    <row r="8" spans="1:60">
      <c r="A8">
        <v>5</v>
      </c>
      <c r="B8">
        <v>5</v>
      </c>
      <c r="C8" t="s">
        <v>3</v>
      </c>
      <c r="D8" t="str">
        <f t="shared" si="4"/>
        <v/>
      </c>
      <c r="E8" t="str">
        <f t="shared" si="4"/>
        <v/>
      </c>
      <c r="F8">
        <f t="shared" si="5"/>
        <v>5</v>
      </c>
      <c r="G8">
        <f t="shared" si="5"/>
        <v>5</v>
      </c>
      <c r="J8">
        <f t="shared" si="0"/>
        <v>4</v>
      </c>
      <c r="K8">
        <f t="shared" si="1"/>
        <v>1.4577379737113252</v>
      </c>
      <c r="L8" t="str">
        <f t="shared" si="6"/>
        <v>B</v>
      </c>
      <c r="M8">
        <f t="shared" si="2"/>
        <v>0</v>
      </c>
      <c r="O8">
        <f t="shared" si="3"/>
        <v>-1</v>
      </c>
      <c r="P8">
        <f t="shared" si="3"/>
        <v>-1</v>
      </c>
      <c r="Q8">
        <f t="shared" si="3"/>
        <v>5</v>
      </c>
      <c r="R8">
        <f t="shared" si="3"/>
        <v>5</v>
      </c>
      <c r="S8">
        <v>-1</v>
      </c>
      <c r="T8">
        <v>-1</v>
      </c>
      <c r="U8">
        <v>-1</v>
      </c>
      <c r="V8">
        <v>-1</v>
      </c>
      <c r="AZ8" s="1"/>
    </row>
    <row r="9" spans="1:60">
      <c r="A9">
        <v>5</v>
      </c>
      <c r="B9">
        <v>4</v>
      </c>
      <c r="C9" t="s">
        <v>3</v>
      </c>
      <c r="D9" t="str">
        <f t="shared" si="4"/>
        <v/>
      </c>
      <c r="E9" t="str">
        <f t="shared" si="4"/>
        <v/>
      </c>
      <c r="F9">
        <f t="shared" si="5"/>
        <v>5</v>
      </c>
      <c r="G9">
        <f t="shared" si="5"/>
        <v>4</v>
      </c>
      <c r="J9">
        <f t="shared" si="0"/>
        <v>3.2557641192199416</v>
      </c>
      <c r="K9">
        <f t="shared" si="1"/>
        <v>1.2747548783981961</v>
      </c>
      <c r="L9" t="str">
        <f t="shared" si="6"/>
        <v>B</v>
      </c>
      <c r="M9">
        <f t="shared" si="2"/>
        <v>0</v>
      </c>
      <c r="O9">
        <f t="shared" si="3"/>
        <v>-1</v>
      </c>
      <c r="P9">
        <f t="shared" si="3"/>
        <v>-1</v>
      </c>
      <c r="Q9">
        <f t="shared" si="3"/>
        <v>5</v>
      </c>
      <c r="R9">
        <f t="shared" si="3"/>
        <v>4</v>
      </c>
      <c r="S9">
        <v>-1</v>
      </c>
      <c r="T9">
        <v>-1</v>
      </c>
      <c r="U9">
        <v>-1</v>
      </c>
      <c r="V9">
        <v>-1</v>
      </c>
      <c r="AZ9" s="1"/>
    </row>
    <row r="10" spans="1:60">
      <c r="D10">
        <f>AVERAGE(D1:D9)</f>
        <v>2.6</v>
      </c>
      <c r="E10">
        <f>AVERAGE(E1:E9)</f>
        <v>1.8</v>
      </c>
      <c r="F10">
        <f>AVERAGE(F1:F9)</f>
        <v>3.75</v>
      </c>
      <c r="G10">
        <f>AVERAGE(G1:G9)</f>
        <v>4.25</v>
      </c>
      <c r="M10">
        <f>SUM(M1:M9)</f>
        <v>1</v>
      </c>
      <c r="AZ10" s="1"/>
    </row>
    <row r="11" spans="1:60">
      <c r="AZ11" s="1"/>
    </row>
    <row r="12" spans="1:60">
      <c r="AZ12" s="1"/>
      <c r="BH12" t="s">
        <v>6</v>
      </c>
    </row>
    <row r="13" spans="1:60">
      <c r="A13">
        <f>A1</f>
        <v>5</v>
      </c>
      <c r="B13">
        <f>B1</f>
        <v>2</v>
      </c>
      <c r="C13" t="str">
        <f>L1</f>
        <v>A</v>
      </c>
      <c r="D13">
        <f>IF($C13="A",A13,"")</f>
        <v>5</v>
      </c>
      <c r="E13">
        <f>IF($C13="A",B13,"")</f>
        <v>2</v>
      </c>
      <c r="F13" t="str">
        <f>IF($C13="B",A13,"")</f>
        <v/>
      </c>
      <c r="G13" t="str">
        <f>IF($C13="B",B13,"")</f>
        <v/>
      </c>
      <c r="H13">
        <f>D22</f>
        <v>2.3333333333333335</v>
      </c>
      <c r="I13">
        <f>E22</f>
        <v>2.1666666666666665</v>
      </c>
      <c r="J13">
        <f t="shared" ref="J13:J21" si="7">SQRT((A13-D$22)^2+(B13-E$22)^2)</f>
        <v>2.6718699236468995</v>
      </c>
      <c r="K13">
        <f t="shared" ref="K13:K21" si="8">SQRT((A13-F$22)^2+(B13-G$22)^2)</f>
        <v>2.3570226039551581</v>
      </c>
      <c r="L13" t="str">
        <f>IF(J13&lt;K13,"A","B")</f>
        <v>B</v>
      </c>
      <c r="M13">
        <f t="shared" ref="M13:M21" si="9">IF(C13=L13,0,1)</f>
        <v>1</v>
      </c>
      <c r="O13">
        <f t="shared" ref="O13:R21" si="10">IF(D13&lt;&gt;"",D13,-1)</f>
        <v>5</v>
      </c>
      <c r="P13">
        <f t="shared" si="10"/>
        <v>2</v>
      </c>
      <c r="Q13">
        <f t="shared" si="10"/>
        <v>-1</v>
      </c>
      <c r="R13">
        <f t="shared" si="10"/>
        <v>-1</v>
      </c>
      <c r="S13">
        <f>D22</f>
        <v>2.3333333333333335</v>
      </c>
      <c r="T13">
        <f>E22</f>
        <v>2.1666666666666665</v>
      </c>
      <c r="U13">
        <f>F22</f>
        <v>4.666666666666667</v>
      </c>
      <c r="V13">
        <f>G22</f>
        <v>4.333333333333333</v>
      </c>
      <c r="AZ13" s="1"/>
    </row>
    <row r="14" spans="1:60">
      <c r="A14">
        <f t="shared" ref="A14:B21" si="11">A2</f>
        <v>3</v>
      </c>
      <c r="B14">
        <f t="shared" si="11"/>
        <v>2</v>
      </c>
      <c r="C14" t="str">
        <f t="shared" ref="C14:C21" si="12">L2</f>
        <v>A</v>
      </c>
      <c r="D14">
        <f t="shared" ref="D14:E21" si="13">IF($C14="A",A14,"")</f>
        <v>3</v>
      </c>
      <c r="E14">
        <f t="shared" si="13"/>
        <v>2</v>
      </c>
      <c r="F14" t="str">
        <f t="shared" ref="F14:G21" si="14">IF($C14="B",A14,"")</f>
        <v/>
      </c>
      <c r="G14" t="str">
        <f t="shared" si="14"/>
        <v/>
      </c>
      <c r="H14">
        <f>F22</f>
        <v>4.666666666666667</v>
      </c>
      <c r="I14">
        <f>G22</f>
        <v>4.333333333333333</v>
      </c>
      <c r="J14">
        <f t="shared" si="7"/>
        <v>0.68718427093627654</v>
      </c>
      <c r="K14">
        <f t="shared" si="8"/>
        <v>2.8674417556808756</v>
      </c>
      <c r="L14" t="str">
        <f t="shared" ref="L14:L21" si="15">IF(J14&lt;K14,"A","B")</f>
        <v>A</v>
      </c>
      <c r="M14">
        <f t="shared" si="9"/>
        <v>0</v>
      </c>
      <c r="O14">
        <f t="shared" si="10"/>
        <v>3</v>
      </c>
      <c r="P14">
        <f t="shared" si="10"/>
        <v>2</v>
      </c>
      <c r="Q14">
        <f t="shared" si="10"/>
        <v>-1</v>
      </c>
      <c r="R14">
        <f t="shared" si="10"/>
        <v>-1</v>
      </c>
      <c r="S14">
        <v>-1</v>
      </c>
      <c r="T14">
        <v>-1</v>
      </c>
      <c r="U14">
        <v>-1</v>
      </c>
      <c r="V14">
        <v>-1</v>
      </c>
      <c r="AZ14" s="1"/>
    </row>
    <row r="15" spans="1:60">
      <c r="A15">
        <f t="shared" si="11"/>
        <v>1</v>
      </c>
      <c r="B15">
        <f t="shared" si="11"/>
        <v>1</v>
      </c>
      <c r="C15" t="str">
        <f t="shared" si="12"/>
        <v>A</v>
      </c>
      <c r="D15">
        <f t="shared" si="13"/>
        <v>1</v>
      </c>
      <c r="E15">
        <f t="shared" si="13"/>
        <v>1</v>
      </c>
      <c r="F15" t="str">
        <f t="shared" si="14"/>
        <v/>
      </c>
      <c r="G15" t="str">
        <f t="shared" si="14"/>
        <v/>
      </c>
      <c r="J15">
        <f t="shared" si="7"/>
        <v>1.7716909687891083</v>
      </c>
      <c r="K15">
        <f t="shared" si="8"/>
        <v>4.9553562491061687</v>
      </c>
      <c r="L15" t="str">
        <f t="shared" si="15"/>
        <v>A</v>
      </c>
      <c r="M15">
        <f t="shared" si="9"/>
        <v>0</v>
      </c>
      <c r="O15">
        <f t="shared" si="10"/>
        <v>1</v>
      </c>
      <c r="P15">
        <f t="shared" si="10"/>
        <v>1</v>
      </c>
      <c r="Q15">
        <f t="shared" si="10"/>
        <v>-1</v>
      </c>
      <c r="R15">
        <f t="shared" si="10"/>
        <v>-1</v>
      </c>
      <c r="S15">
        <v>-1</v>
      </c>
      <c r="T15">
        <v>-1</v>
      </c>
      <c r="U15">
        <v>-1</v>
      </c>
      <c r="V15">
        <v>-1</v>
      </c>
      <c r="AZ15" s="1"/>
    </row>
    <row r="16" spans="1:60">
      <c r="A16">
        <f t="shared" si="11"/>
        <v>2</v>
      </c>
      <c r="B16">
        <f t="shared" si="11"/>
        <v>1</v>
      </c>
      <c r="C16" t="str">
        <f t="shared" si="12"/>
        <v>A</v>
      </c>
      <c r="D16">
        <f t="shared" si="13"/>
        <v>2</v>
      </c>
      <c r="E16">
        <f t="shared" si="13"/>
        <v>1</v>
      </c>
      <c r="F16" t="str">
        <f t="shared" si="14"/>
        <v/>
      </c>
      <c r="G16" t="str">
        <f t="shared" si="14"/>
        <v/>
      </c>
      <c r="J16">
        <f t="shared" si="7"/>
        <v>1.2133516482134197</v>
      </c>
      <c r="K16">
        <f t="shared" si="8"/>
        <v>4.2687494916218993</v>
      </c>
      <c r="L16" t="str">
        <f t="shared" si="15"/>
        <v>A</v>
      </c>
      <c r="M16">
        <f t="shared" si="9"/>
        <v>0</v>
      </c>
      <c r="O16">
        <f t="shared" si="10"/>
        <v>2</v>
      </c>
      <c r="P16">
        <f t="shared" si="10"/>
        <v>1</v>
      </c>
      <c r="Q16">
        <f t="shared" si="10"/>
        <v>-1</v>
      </c>
      <c r="R16">
        <f t="shared" si="10"/>
        <v>-1</v>
      </c>
      <c r="S16">
        <v>-1</v>
      </c>
      <c r="T16">
        <v>-1</v>
      </c>
      <c r="U16">
        <v>-1</v>
      </c>
      <c r="V16">
        <v>-1</v>
      </c>
      <c r="AZ16" s="1"/>
    </row>
    <row r="17" spans="1:72">
      <c r="A17">
        <f t="shared" si="11"/>
        <v>2</v>
      </c>
      <c r="B17">
        <f t="shared" si="11"/>
        <v>3</v>
      </c>
      <c r="C17" t="str">
        <f t="shared" si="12"/>
        <v>A</v>
      </c>
      <c r="D17">
        <f t="shared" si="13"/>
        <v>2</v>
      </c>
      <c r="E17">
        <f t="shared" si="13"/>
        <v>3</v>
      </c>
      <c r="F17" t="str">
        <f t="shared" si="14"/>
        <v/>
      </c>
      <c r="G17" t="str">
        <f t="shared" si="14"/>
        <v/>
      </c>
      <c r="J17">
        <f t="shared" si="7"/>
        <v>0.89752746785575077</v>
      </c>
      <c r="K17">
        <f t="shared" si="8"/>
        <v>2.9814239699997196</v>
      </c>
      <c r="L17" t="str">
        <f t="shared" si="15"/>
        <v>A</v>
      </c>
      <c r="M17">
        <f t="shared" si="9"/>
        <v>0</v>
      </c>
      <c r="O17">
        <f t="shared" si="10"/>
        <v>2</v>
      </c>
      <c r="P17">
        <f t="shared" si="10"/>
        <v>3</v>
      </c>
      <c r="Q17">
        <f t="shared" si="10"/>
        <v>-1</v>
      </c>
      <c r="R17">
        <f t="shared" si="10"/>
        <v>-1</v>
      </c>
      <c r="S17">
        <v>-1</v>
      </c>
      <c r="T17">
        <v>-1</v>
      </c>
      <c r="U17">
        <v>-1</v>
      </c>
      <c r="V17">
        <v>-1</v>
      </c>
    </row>
    <row r="18" spans="1:72">
      <c r="A18">
        <f t="shared" si="11"/>
        <v>1</v>
      </c>
      <c r="B18">
        <f t="shared" si="11"/>
        <v>4</v>
      </c>
      <c r="C18" t="str">
        <f t="shared" si="12"/>
        <v>A</v>
      </c>
      <c r="D18">
        <f t="shared" si="13"/>
        <v>1</v>
      </c>
      <c r="E18">
        <f t="shared" si="13"/>
        <v>4</v>
      </c>
      <c r="F18" t="str">
        <f t="shared" si="14"/>
        <v/>
      </c>
      <c r="G18" t="str">
        <f t="shared" si="14"/>
        <v/>
      </c>
      <c r="J18">
        <f t="shared" si="7"/>
        <v>2.2669117514559072</v>
      </c>
      <c r="K18">
        <f t="shared" si="8"/>
        <v>3.6817870057290873</v>
      </c>
      <c r="L18" t="str">
        <f t="shared" si="15"/>
        <v>A</v>
      </c>
      <c r="M18">
        <f t="shared" si="9"/>
        <v>0</v>
      </c>
      <c r="O18">
        <f t="shared" si="10"/>
        <v>1</v>
      </c>
      <c r="P18">
        <f t="shared" si="10"/>
        <v>4</v>
      </c>
      <c r="Q18">
        <f t="shared" si="10"/>
        <v>-1</v>
      </c>
      <c r="R18">
        <f t="shared" si="10"/>
        <v>-1</v>
      </c>
      <c r="S18">
        <v>-1</v>
      </c>
      <c r="T18">
        <v>-1</v>
      </c>
      <c r="U18">
        <v>-1</v>
      </c>
      <c r="V18">
        <v>-1</v>
      </c>
    </row>
    <row r="19" spans="1:72">
      <c r="A19">
        <f t="shared" si="11"/>
        <v>4</v>
      </c>
      <c r="B19">
        <f t="shared" si="11"/>
        <v>4</v>
      </c>
      <c r="C19" t="str">
        <f t="shared" si="12"/>
        <v>B</v>
      </c>
      <c r="D19" t="str">
        <f t="shared" si="13"/>
        <v/>
      </c>
      <c r="E19" t="str">
        <f t="shared" si="13"/>
        <v/>
      </c>
      <c r="F19">
        <f t="shared" si="14"/>
        <v>4</v>
      </c>
      <c r="G19">
        <f t="shared" si="14"/>
        <v>4</v>
      </c>
      <c r="J19">
        <f t="shared" si="7"/>
        <v>2.4776781245530843</v>
      </c>
      <c r="K19">
        <f t="shared" si="8"/>
        <v>0.74535599249993001</v>
      </c>
      <c r="L19" t="str">
        <f t="shared" si="15"/>
        <v>B</v>
      </c>
      <c r="M19">
        <f t="shared" si="9"/>
        <v>0</v>
      </c>
      <c r="O19">
        <f t="shared" si="10"/>
        <v>-1</v>
      </c>
      <c r="P19">
        <f t="shared" si="10"/>
        <v>-1</v>
      </c>
      <c r="Q19">
        <f t="shared" si="10"/>
        <v>4</v>
      </c>
      <c r="R19">
        <f t="shared" si="10"/>
        <v>4</v>
      </c>
      <c r="S19">
        <v>-1</v>
      </c>
      <c r="T19">
        <v>-1</v>
      </c>
      <c r="U19">
        <v>-1</v>
      </c>
      <c r="V19">
        <v>-1</v>
      </c>
    </row>
    <row r="20" spans="1:72">
      <c r="A20">
        <f t="shared" si="11"/>
        <v>5</v>
      </c>
      <c r="B20">
        <f t="shared" si="11"/>
        <v>5</v>
      </c>
      <c r="C20" t="str">
        <f t="shared" si="12"/>
        <v>B</v>
      </c>
      <c r="D20" t="str">
        <f t="shared" si="13"/>
        <v/>
      </c>
      <c r="E20" t="str">
        <f t="shared" si="13"/>
        <v/>
      </c>
      <c r="F20">
        <f t="shared" si="14"/>
        <v>5</v>
      </c>
      <c r="G20">
        <f t="shared" si="14"/>
        <v>5</v>
      </c>
      <c r="J20">
        <f t="shared" si="7"/>
        <v>3.8908725099762509</v>
      </c>
      <c r="K20">
        <f t="shared" si="8"/>
        <v>0.74535599249993001</v>
      </c>
      <c r="L20" t="str">
        <f t="shared" si="15"/>
        <v>B</v>
      </c>
      <c r="M20">
        <f t="shared" si="9"/>
        <v>0</v>
      </c>
      <c r="O20">
        <f t="shared" si="10"/>
        <v>-1</v>
      </c>
      <c r="P20">
        <f t="shared" si="10"/>
        <v>-1</v>
      </c>
      <c r="Q20">
        <f t="shared" si="10"/>
        <v>5</v>
      </c>
      <c r="R20">
        <f t="shared" si="10"/>
        <v>5</v>
      </c>
      <c r="S20">
        <v>-1</v>
      </c>
      <c r="T20">
        <v>-1</v>
      </c>
      <c r="U20">
        <v>-1</v>
      </c>
      <c r="V20">
        <v>-1</v>
      </c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</row>
    <row r="21" spans="1:72">
      <c r="A21">
        <f t="shared" si="11"/>
        <v>5</v>
      </c>
      <c r="B21">
        <f t="shared" si="11"/>
        <v>4</v>
      </c>
      <c r="C21" t="str">
        <f t="shared" si="12"/>
        <v>B</v>
      </c>
      <c r="D21" t="str">
        <f t="shared" si="13"/>
        <v/>
      </c>
      <c r="E21" t="str">
        <f t="shared" si="13"/>
        <v/>
      </c>
      <c r="F21">
        <f t="shared" si="14"/>
        <v>5</v>
      </c>
      <c r="G21">
        <f t="shared" si="14"/>
        <v>4</v>
      </c>
      <c r="J21">
        <f t="shared" si="7"/>
        <v>3.2360813064912666</v>
      </c>
      <c r="K21">
        <f t="shared" si="8"/>
        <v>0.47140452079103123</v>
      </c>
      <c r="L21" t="str">
        <f t="shared" si="15"/>
        <v>B</v>
      </c>
      <c r="M21">
        <f t="shared" si="9"/>
        <v>0</v>
      </c>
      <c r="O21">
        <f t="shared" si="10"/>
        <v>-1</v>
      </c>
      <c r="P21">
        <f t="shared" si="10"/>
        <v>-1</v>
      </c>
      <c r="Q21">
        <f t="shared" si="10"/>
        <v>5</v>
      </c>
      <c r="R21">
        <f t="shared" si="10"/>
        <v>4</v>
      </c>
      <c r="S21">
        <v>-1</v>
      </c>
      <c r="T21">
        <v>-1</v>
      </c>
      <c r="U21">
        <v>-1</v>
      </c>
      <c r="V21">
        <v>-1</v>
      </c>
    </row>
    <row r="22" spans="1:72">
      <c r="D22">
        <f>AVERAGE(D13:D21)</f>
        <v>2.3333333333333335</v>
      </c>
      <c r="E22">
        <f>AVERAGE(E13:E21)</f>
        <v>2.1666666666666665</v>
      </c>
      <c r="F22">
        <f>AVERAGE(F13:F21)</f>
        <v>4.666666666666667</v>
      </c>
      <c r="G22">
        <f>AVERAGE(G13:G21)</f>
        <v>4.333333333333333</v>
      </c>
      <c r="M22">
        <f>SUM(M13:M21)</f>
        <v>1</v>
      </c>
      <c r="AZ22" s="1"/>
    </row>
    <row r="23" spans="1:72">
      <c r="AZ23" s="1"/>
    </row>
    <row r="24" spans="1:72">
      <c r="AZ24" s="1"/>
    </row>
    <row r="25" spans="1:72">
      <c r="A25">
        <f>A13</f>
        <v>5</v>
      </c>
      <c r="B25">
        <f>B13</f>
        <v>2</v>
      </c>
      <c r="C25" t="str">
        <f>L13</f>
        <v>B</v>
      </c>
      <c r="D25" t="str">
        <f>IF($C25="A",A25,"")</f>
        <v/>
      </c>
      <c r="E25" t="str">
        <f>IF($C25="A",B25,"")</f>
        <v/>
      </c>
      <c r="F25">
        <f>IF($C25="B",A25,"")</f>
        <v>5</v>
      </c>
      <c r="G25">
        <f>IF($C25="B",B25,"")</f>
        <v>2</v>
      </c>
      <c r="H25">
        <f>D34</f>
        <v>1.8</v>
      </c>
      <c r="I25">
        <f>E34</f>
        <v>2.2000000000000002</v>
      </c>
      <c r="J25">
        <f t="shared" ref="J25:J33" si="16">SQRT((A25-D$34)^2+(B25-E$34)^2)</f>
        <v>3.2062439083762797</v>
      </c>
      <c r="K25">
        <f t="shared" ref="K25:K33" si="17">SQRT((A25-F$34)^2+(B25-G$34)^2)</f>
        <v>1.7677669529663689</v>
      </c>
      <c r="L25" t="str">
        <f>IF(J25&lt;K25,"A","B")</f>
        <v>B</v>
      </c>
      <c r="M25">
        <f t="shared" ref="M25:M33" si="18">IF(C25=L25,0,1)</f>
        <v>0</v>
      </c>
      <c r="O25">
        <f>IF(D25&lt;&gt;"",D25,-1)</f>
        <v>-1</v>
      </c>
      <c r="P25">
        <f>IF(E25&lt;&gt;"",E25,-1)</f>
        <v>-1</v>
      </c>
      <c r="Q25">
        <f>IF(F25&lt;&gt;"",F25,-1)</f>
        <v>5</v>
      </c>
      <c r="R25">
        <f>IF(G25&lt;&gt;"",G25,-1)</f>
        <v>2</v>
      </c>
      <c r="S25">
        <f>D34</f>
        <v>1.8</v>
      </c>
      <c r="T25">
        <f>E34</f>
        <v>2.2000000000000002</v>
      </c>
      <c r="U25">
        <f>F34</f>
        <v>4.75</v>
      </c>
      <c r="V25">
        <f>G34</f>
        <v>3.75</v>
      </c>
      <c r="AZ25" s="1"/>
    </row>
    <row r="26" spans="1:72">
      <c r="A26">
        <f t="shared" ref="A26:B33" si="19">A14</f>
        <v>3</v>
      </c>
      <c r="B26">
        <f t="shared" si="19"/>
        <v>2</v>
      </c>
      <c r="C26" t="str">
        <f t="shared" ref="C26:C33" si="20">L14</f>
        <v>A</v>
      </c>
      <c r="D26">
        <f t="shared" ref="D26:E33" si="21">IF($C26="A",A26,"")</f>
        <v>3</v>
      </c>
      <c r="E26">
        <f t="shared" si="21"/>
        <v>2</v>
      </c>
      <c r="F26" t="str">
        <f t="shared" ref="F26:G33" si="22">IF($C26="B",A26,"")</f>
        <v/>
      </c>
      <c r="G26" t="str">
        <f t="shared" si="22"/>
        <v/>
      </c>
      <c r="H26">
        <f>F34</f>
        <v>4.75</v>
      </c>
      <c r="I26">
        <f>G34</f>
        <v>3.75</v>
      </c>
      <c r="J26">
        <f t="shared" si="16"/>
        <v>1.2165525060596438</v>
      </c>
      <c r="K26">
        <f t="shared" si="17"/>
        <v>2.4748737341529163</v>
      </c>
      <c r="L26" t="str">
        <f t="shared" ref="L26:L33" si="23">IF(J26&lt;K26,"A","B")</f>
        <v>A</v>
      </c>
      <c r="M26">
        <f t="shared" si="18"/>
        <v>0</v>
      </c>
      <c r="O26">
        <f t="shared" ref="O26:R33" si="24">IF(D26&lt;&gt;"",D26,-1)</f>
        <v>3</v>
      </c>
      <c r="P26">
        <f t="shared" si="24"/>
        <v>2</v>
      </c>
      <c r="Q26">
        <f t="shared" si="24"/>
        <v>-1</v>
      </c>
      <c r="R26">
        <f t="shared" si="24"/>
        <v>-1</v>
      </c>
      <c r="S26">
        <v>-1</v>
      </c>
      <c r="T26">
        <v>-1</v>
      </c>
      <c r="U26">
        <v>-1</v>
      </c>
      <c r="V26">
        <v>-1</v>
      </c>
      <c r="AZ26" s="1"/>
    </row>
    <row r="27" spans="1:72">
      <c r="A27">
        <f t="shared" si="19"/>
        <v>1</v>
      </c>
      <c r="B27">
        <f t="shared" si="19"/>
        <v>1</v>
      </c>
      <c r="C27" t="str">
        <f t="shared" si="20"/>
        <v>A</v>
      </c>
      <c r="D27">
        <f t="shared" si="21"/>
        <v>1</v>
      </c>
      <c r="E27">
        <f t="shared" si="21"/>
        <v>1</v>
      </c>
      <c r="F27" t="str">
        <f t="shared" si="22"/>
        <v/>
      </c>
      <c r="G27" t="str">
        <f t="shared" si="22"/>
        <v/>
      </c>
      <c r="J27">
        <f t="shared" si="16"/>
        <v>1.4422205101855958</v>
      </c>
      <c r="K27">
        <f t="shared" si="17"/>
        <v>4.6502688094345688</v>
      </c>
      <c r="L27" t="str">
        <f t="shared" si="23"/>
        <v>A</v>
      </c>
      <c r="M27">
        <f t="shared" si="18"/>
        <v>0</v>
      </c>
      <c r="O27">
        <f t="shared" si="24"/>
        <v>1</v>
      </c>
      <c r="P27">
        <f t="shared" si="24"/>
        <v>1</v>
      </c>
      <c r="Q27">
        <f t="shared" si="24"/>
        <v>-1</v>
      </c>
      <c r="R27">
        <f t="shared" si="24"/>
        <v>-1</v>
      </c>
      <c r="S27">
        <v>-1</v>
      </c>
      <c r="T27">
        <v>-1</v>
      </c>
      <c r="U27">
        <v>-1</v>
      </c>
      <c r="V27">
        <v>-1</v>
      </c>
      <c r="AZ27" s="1"/>
    </row>
    <row r="28" spans="1:72">
      <c r="A28">
        <f t="shared" si="19"/>
        <v>2</v>
      </c>
      <c r="B28">
        <f t="shared" si="19"/>
        <v>1</v>
      </c>
      <c r="C28" t="str">
        <f t="shared" si="20"/>
        <v>A</v>
      </c>
      <c r="D28">
        <f t="shared" si="21"/>
        <v>2</v>
      </c>
      <c r="E28">
        <f t="shared" si="21"/>
        <v>1</v>
      </c>
      <c r="F28" t="str">
        <f t="shared" si="22"/>
        <v/>
      </c>
      <c r="G28" t="str">
        <f t="shared" si="22"/>
        <v/>
      </c>
      <c r="J28">
        <f t="shared" si="16"/>
        <v>1.216552506059644</v>
      </c>
      <c r="K28">
        <f t="shared" si="17"/>
        <v>3.8890872965260113</v>
      </c>
      <c r="L28" t="str">
        <f t="shared" si="23"/>
        <v>A</v>
      </c>
      <c r="M28">
        <f t="shared" si="18"/>
        <v>0</v>
      </c>
      <c r="O28">
        <f t="shared" si="24"/>
        <v>2</v>
      </c>
      <c r="P28">
        <f t="shared" si="24"/>
        <v>1</v>
      </c>
      <c r="Q28">
        <f t="shared" si="24"/>
        <v>-1</v>
      </c>
      <c r="R28">
        <f t="shared" si="24"/>
        <v>-1</v>
      </c>
      <c r="S28">
        <v>-1</v>
      </c>
      <c r="T28">
        <v>-1</v>
      </c>
      <c r="U28">
        <v>-1</v>
      </c>
      <c r="V28">
        <v>-1</v>
      </c>
      <c r="AZ28" s="1"/>
    </row>
    <row r="29" spans="1:72">
      <c r="A29">
        <f t="shared" si="19"/>
        <v>2</v>
      </c>
      <c r="B29">
        <f t="shared" si="19"/>
        <v>3</v>
      </c>
      <c r="C29" t="str">
        <f t="shared" si="20"/>
        <v>A</v>
      </c>
      <c r="D29">
        <f t="shared" si="21"/>
        <v>2</v>
      </c>
      <c r="E29">
        <f t="shared" si="21"/>
        <v>3</v>
      </c>
      <c r="F29" t="str">
        <f t="shared" si="22"/>
        <v/>
      </c>
      <c r="G29" t="str">
        <f t="shared" si="22"/>
        <v/>
      </c>
      <c r="J29">
        <f t="shared" si="16"/>
        <v>0.82462112512353192</v>
      </c>
      <c r="K29">
        <f t="shared" si="17"/>
        <v>2.8504385627478448</v>
      </c>
      <c r="L29" t="str">
        <f t="shared" si="23"/>
        <v>A</v>
      </c>
      <c r="M29">
        <f t="shared" si="18"/>
        <v>0</v>
      </c>
      <c r="O29">
        <f t="shared" si="24"/>
        <v>2</v>
      </c>
      <c r="P29">
        <f t="shared" si="24"/>
        <v>3</v>
      </c>
      <c r="Q29">
        <f t="shared" si="24"/>
        <v>-1</v>
      </c>
      <c r="R29">
        <f t="shared" si="24"/>
        <v>-1</v>
      </c>
      <c r="S29">
        <v>-1</v>
      </c>
      <c r="T29">
        <v>-1</v>
      </c>
      <c r="U29">
        <v>-1</v>
      </c>
      <c r="V29">
        <v>-1</v>
      </c>
      <c r="AZ29" s="1"/>
    </row>
    <row r="30" spans="1:72">
      <c r="A30">
        <f t="shared" si="19"/>
        <v>1</v>
      </c>
      <c r="B30">
        <f t="shared" si="19"/>
        <v>4</v>
      </c>
      <c r="C30" t="str">
        <f t="shared" si="20"/>
        <v>A</v>
      </c>
      <c r="D30">
        <f t="shared" si="21"/>
        <v>1</v>
      </c>
      <c r="E30">
        <f t="shared" si="21"/>
        <v>4</v>
      </c>
      <c r="F30" t="str">
        <f t="shared" si="22"/>
        <v/>
      </c>
      <c r="G30" t="str">
        <f t="shared" si="22"/>
        <v/>
      </c>
      <c r="J30">
        <f t="shared" si="16"/>
        <v>1.9697715603592207</v>
      </c>
      <c r="K30">
        <f t="shared" si="17"/>
        <v>3.758324094593227</v>
      </c>
      <c r="L30" t="str">
        <f t="shared" si="23"/>
        <v>A</v>
      </c>
      <c r="M30">
        <f t="shared" si="18"/>
        <v>0</v>
      </c>
      <c r="O30">
        <f t="shared" si="24"/>
        <v>1</v>
      </c>
      <c r="P30">
        <f t="shared" si="24"/>
        <v>4</v>
      </c>
      <c r="Q30">
        <f t="shared" si="24"/>
        <v>-1</v>
      </c>
      <c r="R30">
        <f t="shared" si="24"/>
        <v>-1</v>
      </c>
      <c r="S30">
        <v>-1</v>
      </c>
      <c r="T30">
        <v>-1</v>
      </c>
      <c r="U30">
        <v>-1</v>
      </c>
      <c r="V30">
        <v>-1</v>
      </c>
      <c r="AZ30" s="1"/>
    </row>
    <row r="31" spans="1:72">
      <c r="A31">
        <f t="shared" si="19"/>
        <v>4</v>
      </c>
      <c r="B31">
        <f t="shared" si="19"/>
        <v>4</v>
      </c>
      <c r="C31" t="str">
        <f t="shared" si="20"/>
        <v>B</v>
      </c>
      <c r="D31" t="str">
        <f t="shared" si="21"/>
        <v/>
      </c>
      <c r="E31" t="str">
        <f t="shared" si="21"/>
        <v/>
      </c>
      <c r="F31">
        <f t="shared" si="22"/>
        <v>4</v>
      </c>
      <c r="G31">
        <f t="shared" si="22"/>
        <v>4</v>
      </c>
      <c r="J31">
        <f t="shared" si="16"/>
        <v>2.8425340807103789</v>
      </c>
      <c r="K31">
        <f t="shared" si="17"/>
        <v>0.79056941504209488</v>
      </c>
      <c r="L31" t="str">
        <f t="shared" si="23"/>
        <v>B</v>
      </c>
      <c r="M31">
        <f t="shared" si="18"/>
        <v>0</v>
      </c>
      <c r="O31">
        <f t="shared" si="24"/>
        <v>-1</v>
      </c>
      <c r="P31">
        <f t="shared" si="24"/>
        <v>-1</v>
      </c>
      <c r="Q31">
        <f t="shared" si="24"/>
        <v>4</v>
      </c>
      <c r="R31">
        <f t="shared" si="24"/>
        <v>4</v>
      </c>
      <c r="S31">
        <v>-1</v>
      </c>
      <c r="T31">
        <v>-1</v>
      </c>
      <c r="U31">
        <v>-1</v>
      </c>
      <c r="V31">
        <v>-1</v>
      </c>
      <c r="AZ31" s="1"/>
    </row>
    <row r="32" spans="1:72">
      <c r="A32">
        <f t="shared" si="19"/>
        <v>5</v>
      </c>
      <c r="B32">
        <f t="shared" si="19"/>
        <v>5</v>
      </c>
      <c r="C32" t="str">
        <f t="shared" si="20"/>
        <v>B</v>
      </c>
      <c r="D32" t="str">
        <f t="shared" si="21"/>
        <v/>
      </c>
      <c r="E32" t="str">
        <f t="shared" si="21"/>
        <v/>
      </c>
      <c r="F32">
        <f t="shared" si="22"/>
        <v>5</v>
      </c>
      <c r="G32">
        <f t="shared" si="22"/>
        <v>5</v>
      </c>
      <c r="J32">
        <f t="shared" si="16"/>
        <v>4.2520583250938602</v>
      </c>
      <c r="K32">
        <f t="shared" si="17"/>
        <v>1.2747548783981961</v>
      </c>
      <c r="L32" t="str">
        <f t="shared" si="23"/>
        <v>B</v>
      </c>
      <c r="M32">
        <f t="shared" si="18"/>
        <v>0</v>
      </c>
      <c r="O32">
        <f t="shared" si="24"/>
        <v>-1</v>
      </c>
      <c r="P32">
        <f t="shared" si="24"/>
        <v>-1</v>
      </c>
      <c r="Q32">
        <f t="shared" si="24"/>
        <v>5</v>
      </c>
      <c r="R32">
        <f t="shared" si="24"/>
        <v>5</v>
      </c>
      <c r="S32">
        <v>-1</v>
      </c>
      <c r="T32">
        <v>-1</v>
      </c>
      <c r="U32">
        <v>-1</v>
      </c>
      <c r="V32">
        <v>-1</v>
      </c>
      <c r="AZ32" s="1"/>
    </row>
    <row r="33" spans="1:52">
      <c r="A33">
        <f t="shared" si="19"/>
        <v>5</v>
      </c>
      <c r="B33">
        <f t="shared" si="19"/>
        <v>4</v>
      </c>
      <c r="C33" t="str">
        <f t="shared" si="20"/>
        <v>B</v>
      </c>
      <c r="D33" t="str">
        <f t="shared" si="21"/>
        <v/>
      </c>
      <c r="E33" t="str">
        <f t="shared" si="21"/>
        <v/>
      </c>
      <c r="F33">
        <f t="shared" si="22"/>
        <v>5</v>
      </c>
      <c r="G33">
        <f t="shared" si="22"/>
        <v>4</v>
      </c>
      <c r="J33">
        <f t="shared" si="16"/>
        <v>3.6715119501371638</v>
      </c>
      <c r="K33">
        <f t="shared" si="17"/>
        <v>0.35355339059327379</v>
      </c>
      <c r="L33" t="str">
        <f t="shared" si="23"/>
        <v>B</v>
      </c>
      <c r="M33">
        <f t="shared" si="18"/>
        <v>0</v>
      </c>
      <c r="O33">
        <f t="shared" si="24"/>
        <v>-1</v>
      </c>
      <c r="P33">
        <f t="shared" si="24"/>
        <v>-1</v>
      </c>
      <c r="Q33">
        <f t="shared" si="24"/>
        <v>5</v>
      </c>
      <c r="R33">
        <f t="shared" si="24"/>
        <v>4</v>
      </c>
      <c r="S33">
        <v>-1</v>
      </c>
      <c r="T33">
        <v>-1</v>
      </c>
      <c r="U33">
        <v>-1</v>
      </c>
      <c r="V33">
        <v>-1</v>
      </c>
      <c r="AZ33" s="1"/>
    </row>
    <row r="34" spans="1:52">
      <c r="D34">
        <f>AVERAGE(D25:D33)</f>
        <v>1.8</v>
      </c>
      <c r="E34">
        <f>AVERAGE(E25:E33)</f>
        <v>2.2000000000000002</v>
      </c>
      <c r="F34">
        <f>AVERAGE(F25:F33)</f>
        <v>4.75</v>
      </c>
      <c r="G34">
        <f>AVERAGE(G25:G33)</f>
        <v>3.75</v>
      </c>
      <c r="M34">
        <f>SUM(M25:M33)</f>
        <v>0</v>
      </c>
      <c r="AZ34" s="1"/>
    </row>
    <row r="35" spans="1:52">
      <c r="AZ35" s="1"/>
    </row>
    <row r="36" spans="1:52">
      <c r="A36">
        <f ca="1">RANDBETWEEN(1,5)</f>
        <v>3</v>
      </c>
      <c r="B36">
        <f ca="1">RANDBETWEEN(1,5)</f>
        <v>1</v>
      </c>
      <c r="F36">
        <v>5</v>
      </c>
      <c r="G36">
        <v>2</v>
      </c>
      <c r="L36">
        <v>4</v>
      </c>
      <c r="M36">
        <v>4</v>
      </c>
      <c r="N36" t="s">
        <v>0</v>
      </c>
      <c r="O36" t="s">
        <v>0</v>
      </c>
      <c r="Q36">
        <v>4</v>
      </c>
      <c r="R36">
        <v>4</v>
      </c>
      <c r="AZ36" s="1"/>
    </row>
    <row r="37" spans="1:52">
      <c r="A37">
        <f t="shared" ref="A37:B44" ca="1" si="25">RANDBETWEEN(1,5)</f>
        <v>1</v>
      </c>
      <c r="B37">
        <f t="shared" ca="1" si="25"/>
        <v>2</v>
      </c>
      <c r="F37">
        <v>4</v>
      </c>
      <c r="G37">
        <v>1</v>
      </c>
      <c r="L37">
        <v>1</v>
      </c>
      <c r="M37">
        <v>5</v>
      </c>
      <c r="N37" t="s">
        <v>1</v>
      </c>
      <c r="O37" t="s">
        <v>0</v>
      </c>
      <c r="Q37">
        <v>2</v>
      </c>
      <c r="R37">
        <v>2</v>
      </c>
    </row>
    <row r="38" spans="1:52">
      <c r="A38">
        <f t="shared" ca="1" si="25"/>
        <v>1</v>
      </c>
      <c r="B38">
        <f t="shared" ca="1" si="25"/>
        <v>2</v>
      </c>
      <c r="F38">
        <v>1</v>
      </c>
      <c r="G38">
        <v>1</v>
      </c>
      <c r="L38">
        <v>3</v>
      </c>
      <c r="M38">
        <v>3</v>
      </c>
      <c r="N38" t="s">
        <v>1</v>
      </c>
      <c r="O38" t="s">
        <v>0</v>
      </c>
      <c r="Q38">
        <v>5</v>
      </c>
      <c r="R38">
        <v>1</v>
      </c>
    </row>
    <row r="39" spans="1:52">
      <c r="A39">
        <f t="shared" ca="1" si="25"/>
        <v>4</v>
      </c>
      <c r="B39">
        <f t="shared" ca="1" si="25"/>
        <v>4</v>
      </c>
      <c r="F39">
        <v>5</v>
      </c>
      <c r="G39">
        <v>4</v>
      </c>
      <c r="L39">
        <v>4</v>
      </c>
      <c r="M39">
        <v>4</v>
      </c>
      <c r="N39" t="s">
        <v>3</v>
      </c>
      <c r="O39" t="s">
        <v>0</v>
      </c>
      <c r="Q39">
        <v>1</v>
      </c>
      <c r="R39">
        <v>5</v>
      </c>
    </row>
    <row r="40" spans="1:52">
      <c r="A40">
        <f t="shared" ca="1" si="25"/>
        <v>2</v>
      </c>
      <c r="B40">
        <f t="shared" ca="1" si="25"/>
        <v>1</v>
      </c>
      <c r="F40">
        <v>5</v>
      </c>
      <c r="G40">
        <v>5</v>
      </c>
      <c r="L40">
        <v>2</v>
      </c>
      <c r="M40">
        <v>1</v>
      </c>
      <c r="N40" t="s">
        <v>3</v>
      </c>
      <c r="O40" t="s">
        <v>2</v>
      </c>
      <c r="Q40">
        <v>2</v>
      </c>
      <c r="R40">
        <v>1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52">
      <c r="A41">
        <f t="shared" ca="1" si="25"/>
        <v>2</v>
      </c>
      <c r="B41">
        <f t="shared" ca="1" si="25"/>
        <v>3</v>
      </c>
      <c r="F41">
        <v>3</v>
      </c>
      <c r="G41">
        <v>4</v>
      </c>
      <c r="L41">
        <v>2</v>
      </c>
      <c r="M41">
        <v>2</v>
      </c>
      <c r="N41" t="s">
        <v>3</v>
      </c>
      <c r="O41" t="s">
        <v>2</v>
      </c>
      <c r="Q41">
        <v>4</v>
      </c>
      <c r="R41">
        <v>2</v>
      </c>
    </row>
    <row r="42" spans="1:52">
      <c r="A42">
        <f t="shared" ca="1" si="25"/>
        <v>1</v>
      </c>
      <c r="B42">
        <f t="shared" ca="1" si="25"/>
        <v>1</v>
      </c>
      <c r="F42">
        <v>4</v>
      </c>
      <c r="G42">
        <v>4</v>
      </c>
      <c r="L42">
        <v>1</v>
      </c>
      <c r="M42">
        <v>2</v>
      </c>
      <c r="N42" t="s">
        <v>4</v>
      </c>
      <c r="O42" t="s">
        <v>2</v>
      </c>
      <c r="Q42">
        <v>3</v>
      </c>
      <c r="R42">
        <v>3</v>
      </c>
      <c r="AZ42" s="1"/>
    </row>
    <row r="43" spans="1:52">
      <c r="A43">
        <f t="shared" ca="1" si="25"/>
        <v>2</v>
      </c>
      <c r="B43">
        <f t="shared" ca="1" si="25"/>
        <v>5</v>
      </c>
      <c r="F43">
        <v>2</v>
      </c>
      <c r="G43">
        <v>3</v>
      </c>
      <c r="L43">
        <v>4</v>
      </c>
      <c r="M43">
        <v>2</v>
      </c>
      <c r="N43" t="s">
        <v>5</v>
      </c>
      <c r="O43" t="s">
        <v>4</v>
      </c>
      <c r="Q43">
        <v>4</v>
      </c>
      <c r="R43">
        <v>4</v>
      </c>
      <c r="AZ43" s="1"/>
    </row>
    <row r="44" spans="1:52">
      <c r="A44">
        <f t="shared" ca="1" si="25"/>
        <v>3</v>
      </c>
      <c r="B44">
        <f t="shared" ca="1" si="25"/>
        <v>1</v>
      </c>
      <c r="F44">
        <v>2</v>
      </c>
      <c r="G44">
        <v>1</v>
      </c>
      <c r="L44">
        <v>5</v>
      </c>
      <c r="M44">
        <v>1</v>
      </c>
      <c r="N44" t="s">
        <v>5</v>
      </c>
      <c r="O44" t="s">
        <v>4</v>
      </c>
      <c r="Q44">
        <v>1</v>
      </c>
      <c r="R44">
        <v>2</v>
      </c>
      <c r="AZ44" s="1"/>
    </row>
    <row r="45" spans="1:52">
      <c r="AZ45" s="1"/>
    </row>
    <row r="46" spans="1:52">
      <c r="AZ46" s="1"/>
    </row>
    <row r="47" spans="1:52">
      <c r="F47">
        <v>5</v>
      </c>
      <c r="G47">
        <v>2</v>
      </c>
      <c r="H47" t="s">
        <v>1</v>
      </c>
      <c r="AZ47" s="1"/>
    </row>
    <row r="48" spans="1:52">
      <c r="F48">
        <v>3</v>
      </c>
      <c r="G48">
        <v>2</v>
      </c>
      <c r="H48" t="s">
        <v>1</v>
      </c>
      <c r="AZ48" s="1"/>
    </row>
    <row r="49" spans="6:52">
      <c r="F49">
        <v>1</v>
      </c>
      <c r="G49">
        <v>1</v>
      </c>
      <c r="H49" t="s">
        <v>1</v>
      </c>
      <c r="AZ49" s="1"/>
    </row>
    <row r="50" spans="6:52">
      <c r="F50">
        <v>5</v>
      </c>
      <c r="G50">
        <v>4</v>
      </c>
      <c r="H50" t="s">
        <v>3</v>
      </c>
      <c r="AZ50" s="1"/>
    </row>
    <row r="51" spans="6:52">
      <c r="F51">
        <v>5</v>
      </c>
      <c r="G51">
        <v>5</v>
      </c>
      <c r="H51" t="s">
        <v>3</v>
      </c>
      <c r="AZ51" s="1"/>
    </row>
    <row r="52" spans="6:52">
      <c r="F52">
        <v>1</v>
      </c>
      <c r="G52">
        <v>4</v>
      </c>
      <c r="H52" t="s">
        <v>3</v>
      </c>
      <c r="AZ52" s="1"/>
    </row>
    <row r="53" spans="6:52">
      <c r="F53">
        <v>4</v>
      </c>
      <c r="G53">
        <v>4</v>
      </c>
      <c r="H53" t="s">
        <v>3</v>
      </c>
      <c r="AZ53" s="1"/>
    </row>
    <row r="54" spans="6:52">
      <c r="F54">
        <v>2</v>
      </c>
      <c r="G54">
        <v>3</v>
      </c>
      <c r="H54" t="s">
        <v>1</v>
      </c>
      <c r="AZ54" s="1"/>
    </row>
    <row r="55" spans="6:52">
      <c r="F55">
        <v>2</v>
      </c>
      <c r="G55">
        <v>1</v>
      </c>
      <c r="H55" t="s">
        <v>1</v>
      </c>
      <c r="AZ55" s="1"/>
    </row>
    <row r="56" spans="6:52">
      <c r="AZ56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6C307-AE05-4AF9-8DFE-8AEC40FE62DE}">
  <dimension ref="A1:BN57"/>
  <sheetViews>
    <sheetView zoomScale="85" zoomScaleNormal="85" workbookViewId="0">
      <selection activeCell="K14" sqref="A14:K14"/>
    </sheetView>
  </sheetViews>
  <sheetFormatPr defaultRowHeight="18"/>
  <cols>
    <col min="4" max="7" width="8.6640625" customWidth="1"/>
    <col min="8" max="9" width="13.4140625" bestFit="1" customWidth="1"/>
    <col min="11" max="11" width="9.6640625" bestFit="1" customWidth="1"/>
    <col min="20" max="55" width="3" customWidth="1"/>
    <col min="56" max="83" width="3.08203125" customWidth="1"/>
  </cols>
  <sheetData>
    <row r="1" spans="1:54" ht="44" customHeight="1">
      <c r="A1" t="s">
        <v>7</v>
      </c>
      <c r="C1" t="s">
        <v>13</v>
      </c>
      <c r="D1" t="s">
        <v>8</v>
      </c>
      <c r="F1" t="s">
        <v>9</v>
      </c>
      <c r="H1" s="3" t="s">
        <v>10</v>
      </c>
      <c r="I1" s="3" t="s">
        <v>11</v>
      </c>
      <c r="J1" s="3" t="s">
        <v>12</v>
      </c>
      <c r="K1" s="3" t="s">
        <v>14</v>
      </c>
      <c r="M1" s="3" t="s">
        <v>15</v>
      </c>
    </row>
    <row r="2" spans="1:54">
      <c r="A2">
        <v>5</v>
      </c>
      <c r="B2">
        <v>2</v>
      </c>
      <c r="C2" t="s">
        <v>1</v>
      </c>
      <c r="D2">
        <f>IF($C2="A",A2,"")</f>
        <v>5</v>
      </c>
      <c r="E2">
        <f>IF($C2="A",B2,"")</f>
        <v>2</v>
      </c>
      <c r="F2" t="str">
        <f>IF($C2="B",A2,"")</f>
        <v/>
      </c>
      <c r="G2" t="str">
        <f>IF($C2="B",B2,"")</f>
        <v/>
      </c>
      <c r="H2">
        <f t="shared" ref="H2:H10" si="0">SQRT((A2-D$11)^2+(B2-E$11)^2)</f>
        <v>2.4083189157584592</v>
      </c>
      <c r="I2">
        <f t="shared" ref="I2:I10" si="1">SQRT((A2-F$11)^2+(B2-G$11)^2)</f>
        <v>2.5739075352467502</v>
      </c>
      <c r="J2" t="str">
        <f>IF(H2&lt;I2,"A","B")</f>
        <v>A</v>
      </c>
      <c r="K2">
        <f t="shared" ref="K2:K10" si="2">IF(C2=J2,0,1)</f>
        <v>0</v>
      </c>
      <c r="M2">
        <f t="shared" ref="M2:M10" si="3">IF(D2&lt;&gt;"",D2,-1)</f>
        <v>5</v>
      </c>
      <c r="N2">
        <f t="shared" ref="N2:N10" si="4">IF(E2&lt;&gt;"",E2,-1)</f>
        <v>2</v>
      </c>
      <c r="O2">
        <f t="shared" ref="O2:O10" si="5">IF(F2&lt;&gt;"",F2,-1)</f>
        <v>-1</v>
      </c>
      <c r="P2">
        <f t="shared" ref="P2:P10" si="6">IF(G2&lt;&gt;"",G2,-1)</f>
        <v>-1</v>
      </c>
    </row>
    <row r="3" spans="1:54">
      <c r="A3">
        <v>3</v>
      </c>
      <c r="B3">
        <v>2</v>
      </c>
      <c r="C3" t="s">
        <v>1</v>
      </c>
      <c r="D3">
        <f t="shared" ref="D3:E10" si="7">IF($C3="A",A3,"")</f>
        <v>3</v>
      </c>
      <c r="E3">
        <f t="shared" si="7"/>
        <v>2</v>
      </c>
      <c r="F3" t="str">
        <f t="shared" ref="F3:G10" si="8">IF($C3="B",A3,"")</f>
        <v/>
      </c>
      <c r="G3" t="str">
        <f t="shared" si="8"/>
        <v/>
      </c>
      <c r="H3">
        <f t="shared" si="0"/>
        <v>0.44721359549995782</v>
      </c>
      <c r="I3">
        <f t="shared" si="1"/>
        <v>2.3717082451262845</v>
      </c>
      <c r="J3" t="str">
        <f t="shared" ref="J3:J10" si="9">IF(H3&lt;I3,"A","B")</f>
        <v>A</v>
      </c>
      <c r="K3">
        <f t="shared" si="2"/>
        <v>0</v>
      </c>
      <c r="M3">
        <f t="shared" si="3"/>
        <v>3</v>
      </c>
      <c r="N3">
        <f t="shared" si="4"/>
        <v>2</v>
      </c>
      <c r="O3">
        <f t="shared" si="5"/>
        <v>-1</v>
      </c>
      <c r="P3">
        <f t="shared" si="6"/>
        <v>-1</v>
      </c>
      <c r="AT3" s="1"/>
    </row>
    <row r="4" spans="1:54">
      <c r="A4">
        <v>1</v>
      </c>
      <c r="B4">
        <v>1</v>
      </c>
      <c r="C4" t="s">
        <v>1</v>
      </c>
      <c r="D4">
        <f t="shared" si="7"/>
        <v>1</v>
      </c>
      <c r="E4">
        <f t="shared" si="7"/>
        <v>1</v>
      </c>
      <c r="F4" t="str">
        <f t="shared" si="8"/>
        <v/>
      </c>
      <c r="G4" t="str">
        <f t="shared" si="8"/>
        <v/>
      </c>
      <c r="H4">
        <f t="shared" si="0"/>
        <v>1.7888543819998319</v>
      </c>
      <c r="I4">
        <f t="shared" si="1"/>
        <v>4.2573465914816007</v>
      </c>
      <c r="J4" t="str">
        <f t="shared" si="9"/>
        <v>A</v>
      </c>
      <c r="K4">
        <f t="shared" si="2"/>
        <v>0</v>
      </c>
      <c r="M4">
        <f t="shared" si="3"/>
        <v>1</v>
      </c>
      <c r="N4">
        <f t="shared" si="4"/>
        <v>1</v>
      </c>
      <c r="O4">
        <f t="shared" si="5"/>
        <v>-1</v>
      </c>
      <c r="P4">
        <f t="shared" si="6"/>
        <v>-1</v>
      </c>
      <c r="AT4" s="1"/>
    </row>
    <row r="5" spans="1:54">
      <c r="A5">
        <v>2</v>
      </c>
      <c r="B5">
        <v>1</v>
      </c>
      <c r="C5" t="s">
        <v>1</v>
      </c>
      <c r="D5">
        <f t="shared" si="7"/>
        <v>2</v>
      </c>
      <c r="E5">
        <f t="shared" si="7"/>
        <v>1</v>
      </c>
      <c r="F5" t="str">
        <f t="shared" si="8"/>
        <v/>
      </c>
      <c r="G5" t="str">
        <f t="shared" si="8"/>
        <v/>
      </c>
      <c r="H5">
        <f t="shared" si="0"/>
        <v>1</v>
      </c>
      <c r="I5">
        <f t="shared" si="1"/>
        <v>3.6912057650583501</v>
      </c>
      <c r="J5" t="str">
        <f t="shared" si="9"/>
        <v>A</v>
      </c>
      <c r="K5">
        <f t="shared" si="2"/>
        <v>0</v>
      </c>
      <c r="M5">
        <f t="shared" si="3"/>
        <v>2</v>
      </c>
      <c r="N5">
        <f t="shared" si="4"/>
        <v>1</v>
      </c>
      <c r="O5">
        <f t="shared" si="5"/>
        <v>-1</v>
      </c>
      <c r="P5">
        <f t="shared" si="6"/>
        <v>-1</v>
      </c>
      <c r="AT5" s="1"/>
    </row>
    <row r="6" spans="1:54">
      <c r="A6">
        <v>2</v>
      </c>
      <c r="B6">
        <v>3</v>
      </c>
      <c r="C6" t="s">
        <v>1</v>
      </c>
      <c r="D6">
        <f t="shared" si="7"/>
        <v>2</v>
      </c>
      <c r="E6">
        <f t="shared" si="7"/>
        <v>3</v>
      </c>
      <c r="F6" t="str">
        <f t="shared" si="8"/>
        <v/>
      </c>
      <c r="G6" t="str">
        <f t="shared" si="8"/>
        <v/>
      </c>
      <c r="H6">
        <f t="shared" si="0"/>
        <v>1.3416407864998738</v>
      </c>
      <c r="I6">
        <f t="shared" si="1"/>
        <v>2.1505813167606567</v>
      </c>
      <c r="J6" t="str">
        <f t="shared" si="9"/>
        <v>A</v>
      </c>
      <c r="K6">
        <f t="shared" si="2"/>
        <v>0</v>
      </c>
      <c r="M6">
        <f t="shared" si="3"/>
        <v>2</v>
      </c>
      <c r="N6">
        <f t="shared" si="4"/>
        <v>3</v>
      </c>
      <c r="O6">
        <f t="shared" si="5"/>
        <v>-1</v>
      </c>
      <c r="P6">
        <f t="shared" si="6"/>
        <v>-1</v>
      </c>
      <c r="AT6" s="1"/>
    </row>
    <row r="7" spans="1:54">
      <c r="A7">
        <v>1</v>
      </c>
      <c r="B7">
        <v>4</v>
      </c>
      <c r="C7" t="s">
        <v>3</v>
      </c>
      <c r="D7" t="str">
        <f t="shared" si="7"/>
        <v/>
      </c>
      <c r="E7" t="str">
        <f t="shared" si="7"/>
        <v/>
      </c>
      <c r="F7">
        <f t="shared" si="8"/>
        <v>1</v>
      </c>
      <c r="G7">
        <f t="shared" si="8"/>
        <v>4</v>
      </c>
      <c r="H7">
        <f t="shared" si="0"/>
        <v>2.720294101747089</v>
      </c>
      <c r="I7">
        <f t="shared" si="1"/>
        <v>2.7613402542968153</v>
      </c>
      <c r="J7" t="str">
        <f t="shared" si="9"/>
        <v>A</v>
      </c>
      <c r="K7">
        <f t="shared" si="2"/>
        <v>1</v>
      </c>
      <c r="M7">
        <f t="shared" si="3"/>
        <v>-1</v>
      </c>
      <c r="N7">
        <f t="shared" si="4"/>
        <v>-1</v>
      </c>
      <c r="O7">
        <f t="shared" si="5"/>
        <v>1</v>
      </c>
      <c r="P7">
        <f t="shared" si="6"/>
        <v>4</v>
      </c>
      <c r="AT7" s="1"/>
    </row>
    <row r="8" spans="1:54">
      <c r="A8">
        <v>4</v>
      </c>
      <c r="B8">
        <v>4</v>
      </c>
      <c r="C8" t="s">
        <v>3</v>
      </c>
      <c r="D8" t="str">
        <f t="shared" si="7"/>
        <v/>
      </c>
      <c r="E8" t="str">
        <f t="shared" si="7"/>
        <v/>
      </c>
      <c r="F8">
        <f t="shared" si="8"/>
        <v>4</v>
      </c>
      <c r="G8">
        <f t="shared" si="8"/>
        <v>4</v>
      </c>
      <c r="H8">
        <f t="shared" si="0"/>
        <v>2.6076809620810595</v>
      </c>
      <c r="I8">
        <f t="shared" si="1"/>
        <v>0.35355339059327379</v>
      </c>
      <c r="J8" t="str">
        <f t="shared" si="9"/>
        <v>B</v>
      </c>
      <c r="K8">
        <f t="shared" si="2"/>
        <v>0</v>
      </c>
      <c r="M8">
        <f t="shared" si="3"/>
        <v>-1</v>
      </c>
      <c r="N8">
        <f t="shared" si="4"/>
        <v>-1</v>
      </c>
      <c r="O8">
        <f t="shared" si="5"/>
        <v>4</v>
      </c>
      <c r="P8">
        <f t="shared" si="6"/>
        <v>4</v>
      </c>
      <c r="AT8" s="1"/>
    </row>
    <row r="9" spans="1:54">
      <c r="A9">
        <v>5</v>
      </c>
      <c r="B9">
        <v>5</v>
      </c>
      <c r="C9" t="s">
        <v>3</v>
      </c>
      <c r="D9" t="str">
        <f t="shared" si="7"/>
        <v/>
      </c>
      <c r="E9" t="str">
        <f t="shared" si="7"/>
        <v/>
      </c>
      <c r="F9">
        <f t="shared" si="8"/>
        <v>5</v>
      </c>
      <c r="G9">
        <f t="shared" si="8"/>
        <v>5</v>
      </c>
      <c r="H9">
        <f t="shared" si="0"/>
        <v>4</v>
      </c>
      <c r="I9">
        <f t="shared" si="1"/>
        <v>1.4577379737113252</v>
      </c>
      <c r="J9" t="str">
        <f t="shared" si="9"/>
        <v>B</v>
      </c>
      <c r="K9">
        <f t="shared" si="2"/>
        <v>0</v>
      </c>
      <c r="M9">
        <f t="shared" si="3"/>
        <v>-1</v>
      </c>
      <c r="N9">
        <f t="shared" si="4"/>
        <v>-1</v>
      </c>
      <c r="O9">
        <f t="shared" si="5"/>
        <v>5</v>
      </c>
      <c r="P9">
        <f t="shared" si="6"/>
        <v>5</v>
      </c>
      <c r="AT9" s="1"/>
    </row>
    <row r="10" spans="1:54">
      <c r="A10">
        <v>5</v>
      </c>
      <c r="B10">
        <v>4</v>
      </c>
      <c r="C10" t="s">
        <v>3</v>
      </c>
      <c r="D10" t="str">
        <f t="shared" si="7"/>
        <v/>
      </c>
      <c r="E10" t="str">
        <f t="shared" si="7"/>
        <v/>
      </c>
      <c r="F10">
        <f t="shared" si="8"/>
        <v>5</v>
      </c>
      <c r="G10">
        <f t="shared" si="8"/>
        <v>4</v>
      </c>
      <c r="H10">
        <f t="shared" si="0"/>
        <v>3.2557641192199416</v>
      </c>
      <c r="I10">
        <f t="shared" si="1"/>
        <v>1.2747548783981961</v>
      </c>
      <c r="J10" t="str">
        <f t="shared" si="9"/>
        <v>B</v>
      </c>
      <c r="K10">
        <f t="shared" si="2"/>
        <v>0</v>
      </c>
      <c r="M10">
        <f t="shared" si="3"/>
        <v>-1</v>
      </c>
      <c r="N10">
        <f t="shared" si="4"/>
        <v>-1</v>
      </c>
      <c r="O10">
        <f t="shared" si="5"/>
        <v>5</v>
      </c>
      <c r="P10">
        <f t="shared" si="6"/>
        <v>4</v>
      </c>
      <c r="AT10" s="1"/>
    </row>
    <row r="11" spans="1:54">
      <c r="C11" t="s">
        <v>16</v>
      </c>
      <c r="D11">
        <f>AVERAGE(D2:D10)</f>
        <v>2.6</v>
      </c>
      <c r="E11">
        <f>AVERAGE(E2:E10)</f>
        <v>1.8</v>
      </c>
      <c r="F11">
        <f>AVERAGE(F2:F10)</f>
        <v>3.75</v>
      </c>
      <c r="G11">
        <f>AVERAGE(G2:G10)</f>
        <v>4.25</v>
      </c>
      <c r="K11">
        <f>SUM(K2:K10)</f>
        <v>1</v>
      </c>
      <c r="AT11" s="1"/>
    </row>
    <row r="12" spans="1:54">
      <c r="AT12" s="1"/>
    </row>
    <row r="13" spans="1:54">
      <c r="AT13" s="1"/>
      <c r="BB13" t="s">
        <v>6</v>
      </c>
    </row>
    <row r="14" spans="1:54">
      <c r="A14">
        <f>A2</f>
        <v>5</v>
      </c>
      <c r="B14">
        <f>B2</f>
        <v>2</v>
      </c>
      <c r="C14" t="str">
        <f>J2</f>
        <v>A</v>
      </c>
      <c r="D14">
        <f>IF($C14="A",A14,"")</f>
        <v>5</v>
      </c>
      <c r="E14">
        <f>IF($C14="A",B14,"")</f>
        <v>2</v>
      </c>
      <c r="F14" t="str">
        <f>IF($C14="B",A14,"")</f>
        <v/>
      </c>
      <c r="G14" t="str">
        <f>IF($C14="B",B14,"")</f>
        <v/>
      </c>
      <c r="H14">
        <f t="shared" ref="H14:H22" si="10">SQRT((A14-D$23)^2+(B14-E$23)^2)</f>
        <v>2.6718699236468995</v>
      </c>
      <c r="I14">
        <f t="shared" ref="I14:I22" si="11">SQRT((A14-F$23)^2+(B14-G$23)^2)</f>
        <v>2.3570226039551581</v>
      </c>
      <c r="J14" t="str">
        <f>IF(H14&lt;I14,"A","B")</f>
        <v>B</v>
      </c>
      <c r="K14">
        <f t="shared" ref="K14:K22" si="12">IF(C14=J14,0,1)</f>
        <v>1</v>
      </c>
      <c r="M14">
        <f t="shared" ref="M14:M22" si="13">IF(D14&lt;&gt;"",D14,-1)</f>
        <v>5</v>
      </c>
      <c r="N14">
        <f t="shared" ref="N14:N22" si="14">IF(E14&lt;&gt;"",E14,-1)</f>
        <v>2</v>
      </c>
      <c r="O14">
        <f t="shared" ref="O14:O22" si="15">IF(F14&lt;&gt;"",F14,-1)</f>
        <v>-1</v>
      </c>
      <c r="P14">
        <f t="shared" ref="P14:P22" si="16">IF(G14&lt;&gt;"",G14,-1)</f>
        <v>-1</v>
      </c>
      <c r="AT14" s="1"/>
    </row>
    <row r="15" spans="1:54">
      <c r="A15">
        <f t="shared" ref="A15:B22" si="17">A3</f>
        <v>3</v>
      </c>
      <c r="B15">
        <f t="shared" si="17"/>
        <v>2</v>
      </c>
      <c r="C15" t="str">
        <f t="shared" ref="C15:C22" si="18">J3</f>
        <v>A</v>
      </c>
      <c r="D15">
        <f t="shared" ref="D15:E22" si="19">IF($C15="A",A15,"")</f>
        <v>3</v>
      </c>
      <c r="E15">
        <f t="shared" si="19"/>
        <v>2</v>
      </c>
      <c r="F15" t="str">
        <f t="shared" ref="F15:G22" si="20">IF($C15="B",A15,"")</f>
        <v/>
      </c>
      <c r="G15" t="str">
        <f t="shared" si="20"/>
        <v/>
      </c>
      <c r="H15">
        <f t="shared" si="10"/>
        <v>0.68718427093627654</v>
      </c>
      <c r="I15">
        <f t="shared" si="11"/>
        <v>2.8674417556808756</v>
      </c>
      <c r="J15" t="str">
        <f t="shared" ref="J15:J22" si="21">IF(H15&lt;I15,"A","B")</f>
        <v>A</v>
      </c>
      <c r="K15">
        <f t="shared" si="12"/>
        <v>0</v>
      </c>
      <c r="M15">
        <f t="shared" si="13"/>
        <v>3</v>
      </c>
      <c r="N15">
        <f t="shared" si="14"/>
        <v>2</v>
      </c>
      <c r="O15">
        <f t="shared" si="15"/>
        <v>-1</v>
      </c>
      <c r="P15">
        <f t="shared" si="16"/>
        <v>-1</v>
      </c>
      <c r="AT15" s="1"/>
    </row>
    <row r="16" spans="1:54">
      <c r="A16">
        <f t="shared" si="17"/>
        <v>1</v>
      </c>
      <c r="B16">
        <f t="shared" si="17"/>
        <v>1</v>
      </c>
      <c r="C16" t="str">
        <f t="shared" si="18"/>
        <v>A</v>
      </c>
      <c r="D16">
        <f t="shared" si="19"/>
        <v>1</v>
      </c>
      <c r="E16">
        <f t="shared" si="19"/>
        <v>1</v>
      </c>
      <c r="F16" t="str">
        <f t="shared" si="20"/>
        <v/>
      </c>
      <c r="G16" t="str">
        <f t="shared" si="20"/>
        <v/>
      </c>
      <c r="H16">
        <f t="shared" si="10"/>
        <v>1.7716909687891083</v>
      </c>
      <c r="I16">
        <f t="shared" si="11"/>
        <v>4.9553562491061687</v>
      </c>
      <c r="J16" t="str">
        <f t="shared" si="21"/>
        <v>A</v>
      </c>
      <c r="K16">
        <f t="shared" si="12"/>
        <v>0</v>
      </c>
      <c r="M16">
        <f t="shared" si="13"/>
        <v>1</v>
      </c>
      <c r="N16">
        <f t="shared" si="14"/>
        <v>1</v>
      </c>
      <c r="O16">
        <f t="shared" si="15"/>
        <v>-1</v>
      </c>
      <c r="P16">
        <f t="shared" si="16"/>
        <v>-1</v>
      </c>
      <c r="AT16" s="1"/>
    </row>
    <row r="17" spans="1:66">
      <c r="A17">
        <f t="shared" si="17"/>
        <v>2</v>
      </c>
      <c r="B17">
        <f t="shared" si="17"/>
        <v>1</v>
      </c>
      <c r="C17" t="str">
        <f t="shared" si="18"/>
        <v>A</v>
      </c>
      <c r="D17">
        <f t="shared" si="19"/>
        <v>2</v>
      </c>
      <c r="E17">
        <f t="shared" si="19"/>
        <v>1</v>
      </c>
      <c r="F17" t="str">
        <f t="shared" si="20"/>
        <v/>
      </c>
      <c r="G17" t="str">
        <f t="shared" si="20"/>
        <v/>
      </c>
      <c r="H17">
        <f t="shared" si="10"/>
        <v>1.2133516482134197</v>
      </c>
      <c r="I17">
        <f t="shared" si="11"/>
        <v>4.2687494916218993</v>
      </c>
      <c r="J17" t="str">
        <f t="shared" si="21"/>
        <v>A</v>
      </c>
      <c r="K17">
        <f t="shared" si="12"/>
        <v>0</v>
      </c>
      <c r="M17">
        <f t="shared" si="13"/>
        <v>2</v>
      </c>
      <c r="N17">
        <f t="shared" si="14"/>
        <v>1</v>
      </c>
      <c r="O17">
        <f t="shared" si="15"/>
        <v>-1</v>
      </c>
      <c r="P17">
        <f t="shared" si="16"/>
        <v>-1</v>
      </c>
      <c r="AT17" s="1"/>
    </row>
    <row r="18" spans="1:66">
      <c r="A18">
        <f t="shared" si="17"/>
        <v>2</v>
      </c>
      <c r="B18">
        <f t="shared" si="17"/>
        <v>3</v>
      </c>
      <c r="C18" t="str">
        <f t="shared" si="18"/>
        <v>A</v>
      </c>
      <c r="D18">
        <f t="shared" si="19"/>
        <v>2</v>
      </c>
      <c r="E18">
        <f t="shared" si="19"/>
        <v>3</v>
      </c>
      <c r="F18" t="str">
        <f t="shared" si="20"/>
        <v/>
      </c>
      <c r="G18" t="str">
        <f t="shared" si="20"/>
        <v/>
      </c>
      <c r="H18">
        <f t="shared" si="10"/>
        <v>0.89752746785575077</v>
      </c>
      <c r="I18">
        <f t="shared" si="11"/>
        <v>2.9814239699997196</v>
      </c>
      <c r="J18" t="str">
        <f t="shared" si="21"/>
        <v>A</v>
      </c>
      <c r="K18">
        <f t="shared" si="12"/>
        <v>0</v>
      </c>
      <c r="M18">
        <f t="shared" si="13"/>
        <v>2</v>
      </c>
      <c r="N18">
        <f t="shared" si="14"/>
        <v>3</v>
      </c>
      <c r="O18">
        <f t="shared" si="15"/>
        <v>-1</v>
      </c>
      <c r="P18">
        <f t="shared" si="16"/>
        <v>-1</v>
      </c>
    </row>
    <row r="19" spans="1:66">
      <c r="A19">
        <f t="shared" si="17"/>
        <v>1</v>
      </c>
      <c r="B19">
        <f t="shared" si="17"/>
        <v>4</v>
      </c>
      <c r="C19" t="str">
        <f t="shared" si="18"/>
        <v>A</v>
      </c>
      <c r="D19">
        <f t="shared" si="19"/>
        <v>1</v>
      </c>
      <c r="E19">
        <f t="shared" si="19"/>
        <v>4</v>
      </c>
      <c r="F19" t="str">
        <f t="shared" si="20"/>
        <v/>
      </c>
      <c r="G19" t="str">
        <f t="shared" si="20"/>
        <v/>
      </c>
      <c r="H19">
        <f t="shared" si="10"/>
        <v>2.2669117514559072</v>
      </c>
      <c r="I19">
        <f t="shared" si="11"/>
        <v>3.6817870057290873</v>
      </c>
      <c r="J19" t="str">
        <f t="shared" si="21"/>
        <v>A</v>
      </c>
      <c r="K19">
        <f t="shared" si="12"/>
        <v>0</v>
      </c>
      <c r="M19">
        <f t="shared" si="13"/>
        <v>1</v>
      </c>
      <c r="N19">
        <f t="shared" si="14"/>
        <v>4</v>
      </c>
      <c r="O19">
        <f t="shared" si="15"/>
        <v>-1</v>
      </c>
      <c r="P19">
        <f t="shared" si="16"/>
        <v>-1</v>
      </c>
    </row>
    <row r="20" spans="1:66">
      <c r="A20">
        <f t="shared" si="17"/>
        <v>4</v>
      </c>
      <c r="B20">
        <f t="shared" si="17"/>
        <v>4</v>
      </c>
      <c r="C20" t="str">
        <f t="shared" si="18"/>
        <v>B</v>
      </c>
      <c r="D20" t="str">
        <f t="shared" si="19"/>
        <v/>
      </c>
      <c r="E20" t="str">
        <f t="shared" si="19"/>
        <v/>
      </c>
      <c r="F20">
        <f t="shared" si="20"/>
        <v>4</v>
      </c>
      <c r="G20">
        <f t="shared" si="20"/>
        <v>4</v>
      </c>
      <c r="H20">
        <f t="shared" si="10"/>
        <v>2.4776781245530843</v>
      </c>
      <c r="I20">
        <f t="shared" si="11"/>
        <v>0.74535599249993001</v>
      </c>
      <c r="J20" t="str">
        <f t="shared" si="21"/>
        <v>B</v>
      </c>
      <c r="K20">
        <f t="shared" si="12"/>
        <v>0</v>
      </c>
      <c r="M20">
        <f t="shared" si="13"/>
        <v>-1</v>
      </c>
      <c r="N20">
        <f t="shared" si="14"/>
        <v>-1</v>
      </c>
      <c r="O20">
        <f t="shared" si="15"/>
        <v>4</v>
      </c>
      <c r="P20">
        <f t="shared" si="16"/>
        <v>4</v>
      </c>
    </row>
    <row r="21" spans="1:66">
      <c r="A21">
        <f t="shared" si="17"/>
        <v>5</v>
      </c>
      <c r="B21">
        <f t="shared" si="17"/>
        <v>5</v>
      </c>
      <c r="C21" t="str">
        <f t="shared" si="18"/>
        <v>B</v>
      </c>
      <c r="D21" t="str">
        <f t="shared" si="19"/>
        <v/>
      </c>
      <c r="E21" t="str">
        <f t="shared" si="19"/>
        <v/>
      </c>
      <c r="F21">
        <f t="shared" si="20"/>
        <v>5</v>
      </c>
      <c r="G21">
        <f t="shared" si="20"/>
        <v>5</v>
      </c>
      <c r="H21">
        <f t="shared" si="10"/>
        <v>3.8908725099762509</v>
      </c>
      <c r="I21">
        <f t="shared" si="11"/>
        <v>0.74535599249993001</v>
      </c>
      <c r="J21" t="str">
        <f t="shared" si="21"/>
        <v>B</v>
      </c>
      <c r="K21">
        <f t="shared" si="12"/>
        <v>0</v>
      </c>
      <c r="M21">
        <f t="shared" si="13"/>
        <v>-1</v>
      </c>
      <c r="N21">
        <f t="shared" si="14"/>
        <v>-1</v>
      </c>
      <c r="O21">
        <f t="shared" si="15"/>
        <v>5</v>
      </c>
      <c r="P21">
        <f t="shared" si="16"/>
        <v>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>
      <c r="A22">
        <f t="shared" si="17"/>
        <v>5</v>
      </c>
      <c r="B22">
        <f t="shared" si="17"/>
        <v>4</v>
      </c>
      <c r="C22" t="str">
        <f t="shared" si="18"/>
        <v>B</v>
      </c>
      <c r="D22" t="str">
        <f t="shared" si="19"/>
        <v/>
      </c>
      <c r="E22" t="str">
        <f t="shared" si="19"/>
        <v/>
      </c>
      <c r="F22">
        <f t="shared" si="20"/>
        <v>5</v>
      </c>
      <c r="G22">
        <f t="shared" si="20"/>
        <v>4</v>
      </c>
      <c r="H22">
        <f t="shared" si="10"/>
        <v>3.2360813064912666</v>
      </c>
      <c r="I22">
        <f t="shared" si="11"/>
        <v>0.47140452079103123</v>
      </c>
      <c r="J22" t="str">
        <f t="shared" si="21"/>
        <v>B</v>
      </c>
      <c r="K22">
        <f t="shared" si="12"/>
        <v>0</v>
      </c>
      <c r="M22">
        <f t="shared" si="13"/>
        <v>-1</v>
      </c>
      <c r="N22">
        <f t="shared" si="14"/>
        <v>-1</v>
      </c>
      <c r="O22">
        <f t="shared" si="15"/>
        <v>5</v>
      </c>
      <c r="P22">
        <f t="shared" si="16"/>
        <v>4</v>
      </c>
    </row>
    <row r="23" spans="1:66">
      <c r="C23" t="s">
        <v>16</v>
      </c>
      <c r="D23">
        <f>AVERAGE(D14:D22)</f>
        <v>2.3333333333333335</v>
      </c>
      <c r="E23">
        <f>AVERAGE(E14:E22)</f>
        <v>2.1666666666666665</v>
      </c>
      <c r="F23">
        <f>AVERAGE(F14:F22)</f>
        <v>4.666666666666667</v>
      </c>
      <c r="G23">
        <f>AVERAGE(G14:G22)</f>
        <v>4.333333333333333</v>
      </c>
      <c r="K23">
        <f>SUM(K14:K22)</f>
        <v>1</v>
      </c>
      <c r="AT23" s="1"/>
    </row>
    <row r="24" spans="1:66">
      <c r="AT24" s="1"/>
    </row>
    <row r="25" spans="1:66">
      <c r="AT25" s="1"/>
    </row>
    <row r="26" spans="1:66">
      <c r="A26">
        <f>A14</f>
        <v>5</v>
      </c>
      <c r="B26">
        <f>B14</f>
        <v>2</v>
      </c>
      <c r="C26" t="str">
        <f>J14</f>
        <v>B</v>
      </c>
      <c r="D26" t="str">
        <f>IF($C26="A",A26,"")</f>
        <v/>
      </c>
      <c r="E26" t="str">
        <f>IF($C26="A",B26,"")</f>
        <v/>
      </c>
      <c r="F26">
        <f>IF($C26="B",A26,"")</f>
        <v>5</v>
      </c>
      <c r="G26">
        <f>IF($C26="B",B26,"")</f>
        <v>2</v>
      </c>
      <c r="H26">
        <f t="shared" ref="H26:H34" si="22">SQRT((A26-D$35)^2+(B26-E$35)^2)</f>
        <v>3.2062439083762797</v>
      </c>
      <c r="I26">
        <f t="shared" ref="I26:I34" si="23">SQRT((A26-F$35)^2+(B26-G$35)^2)</f>
        <v>1.7677669529663689</v>
      </c>
      <c r="J26" t="str">
        <f>IF(H26&lt;I26,"A","B")</f>
        <v>B</v>
      </c>
      <c r="K26">
        <f t="shared" ref="K26:K34" si="24">IF(C26=J26,0,1)</f>
        <v>0</v>
      </c>
      <c r="M26">
        <f>IF(D26&lt;&gt;"",D26,-1)</f>
        <v>-1</v>
      </c>
      <c r="N26">
        <f>IF(E26&lt;&gt;"",E26,-1)</f>
        <v>-1</v>
      </c>
      <c r="O26">
        <f>IF(F26&lt;&gt;"",F26,-1)</f>
        <v>5</v>
      </c>
      <c r="P26">
        <f>IF(G26&lt;&gt;"",G26,-1)</f>
        <v>2</v>
      </c>
      <c r="AT26" s="1"/>
    </row>
    <row r="27" spans="1:66">
      <c r="A27">
        <f t="shared" ref="A27:B34" si="25">A15</f>
        <v>3</v>
      </c>
      <c r="B27">
        <f t="shared" si="25"/>
        <v>2</v>
      </c>
      <c r="C27" t="str">
        <f t="shared" ref="C27:C34" si="26">J15</f>
        <v>A</v>
      </c>
      <c r="D27">
        <f t="shared" ref="D27:E34" si="27">IF($C27="A",A27,"")</f>
        <v>3</v>
      </c>
      <c r="E27">
        <f t="shared" si="27"/>
        <v>2</v>
      </c>
      <c r="F27" t="str">
        <f t="shared" ref="F27:G34" si="28">IF($C27="B",A27,"")</f>
        <v/>
      </c>
      <c r="G27" t="str">
        <f t="shared" si="28"/>
        <v/>
      </c>
      <c r="H27">
        <f t="shared" si="22"/>
        <v>1.2165525060596438</v>
      </c>
      <c r="I27">
        <f t="shared" si="23"/>
        <v>2.4748737341529163</v>
      </c>
      <c r="J27" t="str">
        <f t="shared" ref="J27:J34" si="29">IF(H27&lt;I27,"A","B")</f>
        <v>A</v>
      </c>
      <c r="K27">
        <f t="shared" si="24"/>
        <v>0</v>
      </c>
      <c r="M27">
        <f t="shared" ref="M27:P34" si="30">IF(D27&lt;&gt;"",D27,-1)</f>
        <v>3</v>
      </c>
      <c r="N27">
        <f t="shared" si="30"/>
        <v>2</v>
      </c>
      <c r="O27">
        <f t="shared" si="30"/>
        <v>-1</v>
      </c>
      <c r="P27">
        <f t="shared" si="30"/>
        <v>-1</v>
      </c>
      <c r="AT27" s="1"/>
    </row>
    <row r="28" spans="1:66">
      <c r="A28">
        <f t="shared" si="25"/>
        <v>1</v>
      </c>
      <c r="B28">
        <f t="shared" si="25"/>
        <v>1</v>
      </c>
      <c r="C28" t="str">
        <f t="shared" si="26"/>
        <v>A</v>
      </c>
      <c r="D28">
        <f t="shared" si="27"/>
        <v>1</v>
      </c>
      <c r="E28">
        <f t="shared" si="27"/>
        <v>1</v>
      </c>
      <c r="F28" t="str">
        <f t="shared" si="28"/>
        <v/>
      </c>
      <c r="G28" t="str">
        <f t="shared" si="28"/>
        <v/>
      </c>
      <c r="H28">
        <f t="shared" si="22"/>
        <v>1.4422205101855958</v>
      </c>
      <c r="I28">
        <f t="shared" si="23"/>
        <v>4.6502688094345688</v>
      </c>
      <c r="J28" t="str">
        <f t="shared" si="29"/>
        <v>A</v>
      </c>
      <c r="K28">
        <f t="shared" si="24"/>
        <v>0</v>
      </c>
      <c r="M28">
        <f t="shared" si="30"/>
        <v>1</v>
      </c>
      <c r="N28">
        <f t="shared" si="30"/>
        <v>1</v>
      </c>
      <c r="O28">
        <f t="shared" si="30"/>
        <v>-1</v>
      </c>
      <c r="P28">
        <f t="shared" si="30"/>
        <v>-1</v>
      </c>
      <c r="AT28" s="1"/>
    </row>
    <row r="29" spans="1:66">
      <c r="A29">
        <f t="shared" si="25"/>
        <v>2</v>
      </c>
      <c r="B29">
        <f t="shared" si="25"/>
        <v>1</v>
      </c>
      <c r="C29" t="str">
        <f t="shared" si="26"/>
        <v>A</v>
      </c>
      <c r="D29">
        <f t="shared" si="27"/>
        <v>2</v>
      </c>
      <c r="E29">
        <f t="shared" si="27"/>
        <v>1</v>
      </c>
      <c r="F29" t="str">
        <f t="shared" si="28"/>
        <v/>
      </c>
      <c r="G29" t="str">
        <f t="shared" si="28"/>
        <v/>
      </c>
      <c r="H29">
        <f t="shared" si="22"/>
        <v>1.216552506059644</v>
      </c>
      <c r="I29">
        <f t="shared" si="23"/>
        <v>3.8890872965260113</v>
      </c>
      <c r="J29" t="str">
        <f t="shared" si="29"/>
        <v>A</v>
      </c>
      <c r="K29">
        <f t="shared" si="24"/>
        <v>0</v>
      </c>
      <c r="M29">
        <f t="shared" si="30"/>
        <v>2</v>
      </c>
      <c r="N29">
        <f t="shared" si="30"/>
        <v>1</v>
      </c>
      <c r="O29">
        <f t="shared" si="30"/>
        <v>-1</v>
      </c>
      <c r="P29">
        <f t="shared" si="30"/>
        <v>-1</v>
      </c>
      <c r="AT29" s="1"/>
    </row>
    <row r="30" spans="1:66">
      <c r="A30">
        <f t="shared" si="25"/>
        <v>2</v>
      </c>
      <c r="B30">
        <f t="shared" si="25"/>
        <v>3</v>
      </c>
      <c r="C30" t="str">
        <f t="shared" si="26"/>
        <v>A</v>
      </c>
      <c r="D30">
        <f t="shared" si="27"/>
        <v>2</v>
      </c>
      <c r="E30">
        <f t="shared" si="27"/>
        <v>3</v>
      </c>
      <c r="F30" t="str">
        <f t="shared" si="28"/>
        <v/>
      </c>
      <c r="G30" t="str">
        <f t="shared" si="28"/>
        <v/>
      </c>
      <c r="H30">
        <f t="shared" si="22"/>
        <v>0.82462112512353192</v>
      </c>
      <c r="I30">
        <f t="shared" si="23"/>
        <v>2.8504385627478448</v>
      </c>
      <c r="J30" t="str">
        <f t="shared" si="29"/>
        <v>A</v>
      </c>
      <c r="K30">
        <f t="shared" si="24"/>
        <v>0</v>
      </c>
      <c r="M30">
        <f t="shared" si="30"/>
        <v>2</v>
      </c>
      <c r="N30">
        <f t="shared" si="30"/>
        <v>3</v>
      </c>
      <c r="O30">
        <f t="shared" si="30"/>
        <v>-1</v>
      </c>
      <c r="P30">
        <f t="shared" si="30"/>
        <v>-1</v>
      </c>
      <c r="AT30" s="1"/>
    </row>
    <row r="31" spans="1:66">
      <c r="A31">
        <f t="shared" si="25"/>
        <v>1</v>
      </c>
      <c r="B31">
        <f t="shared" si="25"/>
        <v>4</v>
      </c>
      <c r="C31" t="str">
        <f t="shared" si="26"/>
        <v>A</v>
      </c>
      <c r="D31">
        <f t="shared" si="27"/>
        <v>1</v>
      </c>
      <c r="E31">
        <f t="shared" si="27"/>
        <v>4</v>
      </c>
      <c r="F31" t="str">
        <f t="shared" si="28"/>
        <v/>
      </c>
      <c r="G31" t="str">
        <f t="shared" si="28"/>
        <v/>
      </c>
      <c r="H31">
        <f t="shared" si="22"/>
        <v>1.9697715603592207</v>
      </c>
      <c r="I31">
        <f t="shared" si="23"/>
        <v>3.758324094593227</v>
      </c>
      <c r="J31" t="str">
        <f t="shared" si="29"/>
        <v>A</v>
      </c>
      <c r="K31">
        <f t="shared" si="24"/>
        <v>0</v>
      </c>
      <c r="M31">
        <f t="shared" si="30"/>
        <v>1</v>
      </c>
      <c r="N31">
        <f t="shared" si="30"/>
        <v>4</v>
      </c>
      <c r="O31">
        <f t="shared" si="30"/>
        <v>-1</v>
      </c>
      <c r="P31">
        <f t="shared" si="30"/>
        <v>-1</v>
      </c>
      <c r="AT31" s="1"/>
    </row>
    <row r="32" spans="1:66">
      <c r="A32">
        <f t="shared" si="25"/>
        <v>4</v>
      </c>
      <c r="B32">
        <f t="shared" si="25"/>
        <v>4</v>
      </c>
      <c r="C32" t="str">
        <f t="shared" si="26"/>
        <v>B</v>
      </c>
      <c r="D32" t="str">
        <f t="shared" si="27"/>
        <v/>
      </c>
      <c r="E32" t="str">
        <f t="shared" si="27"/>
        <v/>
      </c>
      <c r="F32">
        <f t="shared" si="28"/>
        <v>4</v>
      </c>
      <c r="G32">
        <f t="shared" si="28"/>
        <v>4</v>
      </c>
      <c r="H32">
        <f t="shared" si="22"/>
        <v>2.8425340807103789</v>
      </c>
      <c r="I32">
        <f t="shared" si="23"/>
        <v>0.79056941504209488</v>
      </c>
      <c r="J32" t="str">
        <f t="shared" si="29"/>
        <v>B</v>
      </c>
      <c r="K32">
        <f t="shared" si="24"/>
        <v>0</v>
      </c>
      <c r="M32">
        <f t="shared" si="30"/>
        <v>-1</v>
      </c>
      <c r="N32">
        <f t="shared" si="30"/>
        <v>-1</v>
      </c>
      <c r="O32">
        <f t="shared" si="30"/>
        <v>4</v>
      </c>
      <c r="P32">
        <f t="shared" si="30"/>
        <v>4</v>
      </c>
      <c r="AT32" s="1"/>
    </row>
    <row r="33" spans="1:46">
      <c r="A33">
        <f t="shared" si="25"/>
        <v>5</v>
      </c>
      <c r="B33">
        <f t="shared" si="25"/>
        <v>5</v>
      </c>
      <c r="C33" t="str">
        <f t="shared" si="26"/>
        <v>B</v>
      </c>
      <c r="D33" t="str">
        <f t="shared" si="27"/>
        <v/>
      </c>
      <c r="E33" t="str">
        <f t="shared" si="27"/>
        <v/>
      </c>
      <c r="F33">
        <f t="shared" si="28"/>
        <v>5</v>
      </c>
      <c r="G33">
        <f t="shared" si="28"/>
        <v>5</v>
      </c>
      <c r="H33">
        <f t="shared" si="22"/>
        <v>4.2520583250938602</v>
      </c>
      <c r="I33">
        <f t="shared" si="23"/>
        <v>1.2747548783981961</v>
      </c>
      <c r="J33" t="str">
        <f t="shared" si="29"/>
        <v>B</v>
      </c>
      <c r="K33">
        <f t="shared" si="24"/>
        <v>0</v>
      </c>
      <c r="M33">
        <f t="shared" si="30"/>
        <v>-1</v>
      </c>
      <c r="N33">
        <f t="shared" si="30"/>
        <v>-1</v>
      </c>
      <c r="O33">
        <f t="shared" si="30"/>
        <v>5</v>
      </c>
      <c r="P33">
        <f t="shared" si="30"/>
        <v>5</v>
      </c>
      <c r="AT33" s="1"/>
    </row>
    <row r="34" spans="1:46">
      <c r="A34">
        <f t="shared" si="25"/>
        <v>5</v>
      </c>
      <c r="B34">
        <f t="shared" si="25"/>
        <v>4</v>
      </c>
      <c r="C34" t="str">
        <f t="shared" si="26"/>
        <v>B</v>
      </c>
      <c r="D34" t="str">
        <f t="shared" si="27"/>
        <v/>
      </c>
      <c r="E34" t="str">
        <f t="shared" si="27"/>
        <v/>
      </c>
      <c r="F34">
        <f t="shared" si="28"/>
        <v>5</v>
      </c>
      <c r="G34">
        <f t="shared" si="28"/>
        <v>4</v>
      </c>
      <c r="H34">
        <f t="shared" si="22"/>
        <v>3.6715119501371638</v>
      </c>
      <c r="I34">
        <f t="shared" si="23"/>
        <v>0.35355339059327379</v>
      </c>
      <c r="J34" t="str">
        <f t="shared" si="29"/>
        <v>B</v>
      </c>
      <c r="K34">
        <f t="shared" si="24"/>
        <v>0</v>
      </c>
      <c r="M34">
        <f t="shared" si="30"/>
        <v>-1</v>
      </c>
      <c r="N34">
        <f t="shared" si="30"/>
        <v>-1</v>
      </c>
      <c r="O34">
        <f t="shared" si="30"/>
        <v>5</v>
      </c>
      <c r="P34">
        <f t="shared" si="30"/>
        <v>4</v>
      </c>
      <c r="AT34" s="1"/>
    </row>
    <row r="35" spans="1:46">
      <c r="C35" t="s">
        <v>16</v>
      </c>
      <c r="D35">
        <f>AVERAGE(D26:D34)</f>
        <v>1.8</v>
      </c>
      <c r="E35">
        <f>AVERAGE(E26:E34)</f>
        <v>2.2000000000000002</v>
      </c>
      <c r="F35">
        <f>AVERAGE(F26:F34)</f>
        <v>4.75</v>
      </c>
      <c r="G35">
        <f>AVERAGE(G26:G34)</f>
        <v>3.75</v>
      </c>
      <c r="K35">
        <f>SUM(K26:K34)</f>
        <v>0</v>
      </c>
      <c r="AT35" s="1"/>
    </row>
    <row r="36" spans="1:46">
      <c r="AT36" s="1"/>
    </row>
    <row r="37" spans="1:46">
      <c r="AT37" s="1"/>
    </row>
    <row r="41" spans="1:46"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3" spans="1:46">
      <c r="AT43" s="1"/>
    </row>
    <row r="44" spans="1:46">
      <c r="AT44" s="1"/>
    </row>
    <row r="45" spans="1:46">
      <c r="AT45" s="1"/>
    </row>
    <row r="46" spans="1:46">
      <c r="AT46" s="1"/>
    </row>
    <row r="47" spans="1:46">
      <c r="AT47" s="1"/>
    </row>
    <row r="48" spans="1:46">
      <c r="AT48" s="1"/>
    </row>
    <row r="49" spans="46:46">
      <c r="AT49" s="1"/>
    </row>
    <row r="50" spans="46:46">
      <c r="AT50" s="1"/>
    </row>
    <row r="51" spans="46:46">
      <c r="AT51" s="1"/>
    </row>
    <row r="52" spans="46:46">
      <c r="AT52" s="1"/>
    </row>
    <row r="53" spans="46:46">
      <c r="AT53" s="1"/>
    </row>
    <row r="54" spans="46:46">
      <c r="AT54" s="1"/>
    </row>
    <row r="55" spans="46:46">
      <c r="AT55" s="1"/>
    </row>
    <row r="56" spans="46:46">
      <c r="AT56" s="1"/>
    </row>
    <row r="57" spans="46:46">
      <c r="AT57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994C2-F708-4781-AB48-86E695923E2F}">
  <dimension ref="A1:BN57"/>
  <sheetViews>
    <sheetView tabSelected="1" zoomScale="85" zoomScaleNormal="85" workbookViewId="0">
      <selection activeCell="C2" sqref="C2"/>
    </sheetView>
  </sheetViews>
  <sheetFormatPr defaultRowHeight="18"/>
  <cols>
    <col min="4" max="7" width="8.6640625" customWidth="1"/>
    <col min="8" max="9" width="13.4140625" bestFit="1" customWidth="1"/>
    <col min="11" max="11" width="9.6640625" bestFit="1" customWidth="1"/>
    <col min="20" max="55" width="3" customWidth="1"/>
    <col min="56" max="83" width="3.08203125" customWidth="1"/>
  </cols>
  <sheetData>
    <row r="1" spans="1:54" ht="44" customHeight="1">
      <c r="A1" t="s">
        <v>7</v>
      </c>
      <c r="C1" t="s">
        <v>13</v>
      </c>
      <c r="D1" t="s">
        <v>8</v>
      </c>
      <c r="F1" t="s">
        <v>9</v>
      </c>
      <c r="H1" s="3" t="s">
        <v>10</v>
      </c>
      <c r="I1" s="3" t="s">
        <v>11</v>
      </c>
      <c r="J1" s="3" t="s">
        <v>12</v>
      </c>
      <c r="K1" s="3" t="s">
        <v>14</v>
      </c>
      <c r="M1" s="3" t="s">
        <v>15</v>
      </c>
    </row>
    <row r="2" spans="1:54">
      <c r="A2">
        <v>5</v>
      </c>
      <c r="B2">
        <v>2</v>
      </c>
      <c r="C2" t="s">
        <v>1</v>
      </c>
      <c r="D2">
        <f>IF($C2="A",A2,"")</f>
        <v>5</v>
      </c>
      <c r="E2">
        <f>IF($C2="A",B2,"")</f>
        <v>2</v>
      </c>
      <c r="F2" t="str">
        <f>IF($C2="B",A2,"")</f>
        <v/>
      </c>
      <c r="G2" t="str">
        <f>IF($C2="B",B2,"")</f>
        <v/>
      </c>
      <c r="H2">
        <f t="shared" ref="H2:H10" si="0">SQRT((A2-D$11)^2+(B2-E$11)^2)</f>
        <v>2.4083189157584592</v>
      </c>
      <c r="I2">
        <f t="shared" ref="I2:I10" si="1">SQRT((A2-F$11)^2+(B2-G$11)^2)</f>
        <v>2.5739075352467502</v>
      </c>
      <c r="J2" t="str">
        <f>IF(H2&lt;I2,"A","B")</f>
        <v>A</v>
      </c>
      <c r="K2">
        <f t="shared" ref="K2:K10" si="2">IF(C2=J2,0,1)</f>
        <v>0</v>
      </c>
      <c r="M2">
        <f t="shared" ref="M2:M10" si="3">IF(D2&lt;&gt;"",D2,-1)</f>
        <v>5</v>
      </c>
      <c r="N2">
        <f t="shared" ref="N2:N10" si="4">IF(E2&lt;&gt;"",E2,-1)</f>
        <v>2</v>
      </c>
      <c r="O2">
        <f t="shared" ref="O2:O10" si="5">IF(F2&lt;&gt;"",F2,-1)</f>
        <v>-1</v>
      </c>
      <c r="P2">
        <f t="shared" ref="P2:P10" si="6">IF(G2&lt;&gt;"",G2,-1)</f>
        <v>-1</v>
      </c>
    </row>
    <row r="3" spans="1:54">
      <c r="A3">
        <v>3</v>
      </c>
      <c r="B3">
        <v>2</v>
      </c>
      <c r="C3" t="s">
        <v>1</v>
      </c>
      <c r="D3">
        <f t="shared" ref="D3:E10" si="7">IF($C3="A",A3,"")</f>
        <v>3</v>
      </c>
      <c r="E3">
        <f t="shared" si="7"/>
        <v>2</v>
      </c>
      <c r="F3" t="str">
        <f t="shared" ref="F3:G10" si="8">IF($C3="B",A3,"")</f>
        <v/>
      </c>
      <c r="G3" t="str">
        <f t="shared" si="8"/>
        <v/>
      </c>
      <c r="H3">
        <f t="shared" si="0"/>
        <v>0.44721359549995782</v>
      </c>
      <c r="I3">
        <f t="shared" si="1"/>
        <v>2.3717082451262845</v>
      </c>
      <c r="J3" t="str">
        <f t="shared" ref="J3:J10" si="9">IF(H3&lt;I3,"A","B")</f>
        <v>A</v>
      </c>
      <c r="K3">
        <f t="shared" si="2"/>
        <v>0</v>
      </c>
      <c r="M3">
        <f t="shared" si="3"/>
        <v>3</v>
      </c>
      <c r="N3">
        <f t="shared" si="4"/>
        <v>2</v>
      </c>
      <c r="O3">
        <f t="shared" si="5"/>
        <v>-1</v>
      </c>
      <c r="P3">
        <f t="shared" si="6"/>
        <v>-1</v>
      </c>
      <c r="AT3" s="1"/>
    </row>
    <row r="4" spans="1:54">
      <c r="A4">
        <v>1</v>
      </c>
      <c r="B4">
        <v>1</v>
      </c>
      <c r="C4" t="s">
        <v>1</v>
      </c>
      <c r="D4">
        <f t="shared" si="7"/>
        <v>1</v>
      </c>
      <c r="E4">
        <f t="shared" si="7"/>
        <v>1</v>
      </c>
      <c r="F4" t="str">
        <f t="shared" si="8"/>
        <v/>
      </c>
      <c r="G4" t="str">
        <f t="shared" si="8"/>
        <v/>
      </c>
      <c r="H4">
        <f t="shared" si="0"/>
        <v>1.7888543819998319</v>
      </c>
      <c r="I4">
        <f t="shared" si="1"/>
        <v>4.2573465914816007</v>
      </c>
      <c r="J4" t="str">
        <f t="shared" si="9"/>
        <v>A</v>
      </c>
      <c r="K4">
        <f t="shared" si="2"/>
        <v>0</v>
      </c>
      <c r="M4">
        <f t="shared" si="3"/>
        <v>1</v>
      </c>
      <c r="N4">
        <f t="shared" si="4"/>
        <v>1</v>
      </c>
      <c r="O4">
        <f t="shared" si="5"/>
        <v>-1</v>
      </c>
      <c r="P4">
        <f t="shared" si="6"/>
        <v>-1</v>
      </c>
      <c r="AT4" s="1"/>
    </row>
    <row r="5" spans="1:54">
      <c r="A5">
        <v>2</v>
      </c>
      <c r="B5">
        <v>1</v>
      </c>
      <c r="C5" t="s">
        <v>1</v>
      </c>
      <c r="D5">
        <f t="shared" si="7"/>
        <v>2</v>
      </c>
      <c r="E5">
        <f t="shared" si="7"/>
        <v>1</v>
      </c>
      <c r="F5" t="str">
        <f t="shared" si="8"/>
        <v/>
      </c>
      <c r="G5" t="str">
        <f t="shared" si="8"/>
        <v/>
      </c>
      <c r="H5">
        <f t="shared" si="0"/>
        <v>1</v>
      </c>
      <c r="I5">
        <f t="shared" si="1"/>
        <v>3.6912057650583501</v>
      </c>
      <c r="J5" t="str">
        <f t="shared" si="9"/>
        <v>A</v>
      </c>
      <c r="K5">
        <f t="shared" si="2"/>
        <v>0</v>
      </c>
      <c r="M5">
        <f t="shared" si="3"/>
        <v>2</v>
      </c>
      <c r="N5">
        <f t="shared" si="4"/>
        <v>1</v>
      </c>
      <c r="O5">
        <f t="shared" si="5"/>
        <v>-1</v>
      </c>
      <c r="P5">
        <f t="shared" si="6"/>
        <v>-1</v>
      </c>
      <c r="AT5" s="1"/>
    </row>
    <row r="6" spans="1:54">
      <c r="A6">
        <v>2</v>
      </c>
      <c r="B6">
        <v>3</v>
      </c>
      <c r="C6" t="s">
        <v>1</v>
      </c>
      <c r="D6">
        <f t="shared" si="7"/>
        <v>2</v>
      </c>
      <c r="E6">
        <f t="shared" si="7"/>
        <v>3</v>
      </c>
      <c r="F6" t="str">
        <f t="shared" si="8"/>
        <v/>
      </c>
      <c r="G6" t="str">
        <f t="shared" si="8"/>
        <v/>
      </c>
      <c r="H6">
        <f t="shared" si="0"/>
        <v>1.3416407864998738</v>
      </c>
      <c r="I6">
        <f t="shared" si="1"/>
        <v>2.1505813167606567</v>
      </c>
      <c r="J6" t="str">
        <f t="shared" si="9"/>
        <v>A</v>
      </c>
      <c r="K6">
        <f t="shared" si="2"/>
        <v>0</v>
      </c>
      <c r="M6">
        <f t="shared" si="3"/>
        <v>2</v>
      </c>
      <c r="N6">
        <f t="shared" si="4"/>
        <v>3</v>
      </c>
      <c r="O6">
        <f t="shared" si="5"/>
        <v>-1</v>
      </c>
      <c r="P6">
        <f t="shared" si="6"/>
        <v>-1</v>
      </c>
      <c r="AT6" s="1"/>
    </row>
    <row r="7" spans="1:54">
      <c r="A7">
        <v>1</v>
      </c>
      <c r="B7">
        <v>4</v>
      </c>
      <c r="C7" t="s">
        <v>3</v>
      </c>
      <c r="D7" t="str">
        <f t="shared" si="7"/>
        <v/>
      </c>
      <c r="E7" t="str">
        <f t="shared" si="7"/>
        <v/>
      </c>
      <c r="F7">
        <f t="shared" si="8"/>
        <v>1</v>
      </c>
      <c r="G7">
        <f t="shared" si="8"/>
        <v>4</v>
      </c>
      <c r="H7">
        <f t="shared" si="0"/>
        <v>2.720294101747089</v>
      </c>
      <c r="I7">
        <f t="shared" si="1"/>
        <v>2.7613402542968153</v>
      </c>
      <c r="J7" t="str">
        <f t="shared" si="9"/>
        <v>A</v>
      </c>
      <c r="K7">
        <f t="shared" si="2"/>
        <v>1</v>
      </c>
      <c r="M7">
        <f t="shared" si="3"/>
        <v>-1</v>
      </c>
      <c r="N7">
        <f t="shared" si="4"/>
        <v>-1</v>
      </c>
      <c r="O7">
        <f t="shared" si="5"/>
        <v>1</v>
      </c>
      <c r="P7">
        <f t="shared" si="6"/>
        <v>4</v>
      </c>
      <c r="AT7" s="1"/>
    </row>
    <row r="8" spans="1:54">
      <c r="A8">
        <v>4</v>
      </c>
      <c r="B8">
        <v>4</v>
      </c>
      <c r="C8" t="s">
        <v>3</v>
      </c>
      <c r="D8" t="str">
        <f t="shared" si="7"/>
        <v/>
      </c>
      <c r="E8" t="str">
        <f t="shared" si="7"/>
        <v/>
      </c>
      <c r="F8">
        <f t="shared" si="8"/>
        <v>4</v>
      </c>
      <c r="G8">
        <f t="shared" si="8"/>
        <v>4</v>
      </c>
      <c r="H8">
        <f t="shared" si="0"/>
        <v>2.6076809620810595</v>
      </c>
      <c r="I8">
        <f t="shared" si="1"/>
        <v>0.35355339059327379</v>
      </c>
      <c r="J8" t="str">
        <f t="shared" si="9"/>
        <v>B</v>
      </c>
      <c r="K8">
        <f t="shared" si="2"/>
        <v>0</v>
      </c>
      <c r="M8">
        <f t="shared" si="3"/>
        <v>-1</v>
      </c>
      <c r="N8">
        <f t="shared" si="4"/>
        <v>-1</v>
      </c>
      <c r="O8">
        <f t="shared" si="5"/>
        <v>4</v>
      </c>
      <c r="P8">
        <f t="shared" si="6"/>
        <v>4</v>
      </c>
      <c r="AT8" s="1"/>
    </row>
    <row r="9" spans="1:54">
      <c r="A9">
        <v>5</v>
      </c>
      <c r="B9">
        <v>5</v>
      </c>
      <c r="C9" t="s">
        <v>3</v>
      </c>
      <c r="D9" t="str">
        <f t="shared" si="7"/>
        <v/>
      </c>
      <c r="E9" t="str">
        <f t="shared" si="7"/>
        <v/>
      </c>
      <c r="F9">
        <f t="shared" si="8"/>
        <v>5</v>
      </c>
      <c r="G9">
        <f t="shared" si="8"/>
        <v>5</v>
      </c>
      <c r="H9">
        <f t="shared" si="0"/>
        <v>4</v>
      </c>
      <c r="I9">
        <f t="shared" si="1"/>
        <v>1.4577379737113252</v>
      </c>
      <c r="J9" t="str">
        <f t="shared" si="9"/>
        <v>B</v>
      </c>
      <c r="K9">
        <f t="shared" si="2"/>
        <v>0</v>
      </c>
      <c r="M9">
        <f t="shared" si="3"/>
        <v>-1</v>
      </c>
      <c r="N9">
        <f t="shared" si="4"/>
        <v>-1</v>
      </c>
      <c r="O9">
        <f t="shared" si="5"/>
        <v>5</v>
      </c>
      <c r="P9">
        <f t="shared" si="6"/>
        <v>5</v>
      </c>
      <c r="AT9" s="1"/>
    </row>
    <row r="10" spans="1:54">
      <c r="A10">
        <v>5</v>
      </c>
      <c r="B10">
        <v>4</v>
      </c>
      <c r="C10" t="s">
        <v>3</v>
      </c>
      <c r="D10" t="str">
        <f t="shared" si="7"/>
        <v/>
      </c>
      <c r="E10" t="str">
        <f t="shared" si="7"/>
        <v/>
      </c>
      <c r="F10">
        <f t="shared" si="8"/>
        <v>5</v>
      </c>
      <c r="G10">
        <f t="shared" si="8"/>
        <v>4</v>
      </c>
      <c r="H10">
        <f t="shared" si="0"/>
        <v>3.2557641192199416</v>
      </c>
      <c r="I10">
        <f t="shared" si="1"/>
        <v>1.2747548783981961</v>
      </c>
      <c r="J10" t="str">
        <f t="shared" si="9"/>
        <v>B</v>
      </c>
      <c r="K10">
        <f t="shared" si="2"/>
        <v>0</v>
      </c>
      <c r="M10">
        <f t="shared" si="3"/>
        <v>-1</v>
      </c>
      <c r="N10">
        <f t="shared" si="4"/>
        <v>-1</v>
      </c>
      <c r="O10">
        <f t="shared" si="5"/>
        <v>5</v>
      </c>
      <c r="P10">
        <f t="shared" si="6"/>
        <v>4</v>
      </c>
      <c r="AT10" s="1"/>
    </row>
    <row r="11" spans="1:54">
      <c r="C11" t="s">
        <v>16</v>
      </c>
      <c r="D11">
        <f>AVERAGE(D2:D10)</f>
        <v>2.6</v>
      </c>
      <c r="E11">
        <f>AVERAGE(E2:E10)</f>
        <v>1.8</v>
      </c>
      <c r="F11">
        <f>AVERAGE(F2:F10)</f>
        <v>3.75</v>
      </c>
      <c r="G11">
        <f>AVERAGE(G2:G10)</f>
        <v>4.25</v>
      </c>
      <c r="K11">
        <f>SUM(K2:K10)</f>
        <v>1</v>
      </c>
      <c r="AT11" s="1"/>
    </row>
    <row r="12" spans="1:54">
      <c r="AT12" s="1"/>
    </row>
    <row r="13" spans="1:54">
      <c r="AT13" s="1"/>
      <c r="BB13" t="s">
        <v>6</v>
      </c>
    </row>
    <row r="14" spans="1:54">
      <c r="A14">
        <f>A2</f>
        <v>5</v>
      </c>
      <c r="B14">
        <f>B2</f>
        <v>2</v>
      </c>
      <c r="C14" t="str">
        <f>J2</f>
        <v>A</v>
      </c>
      <c r="D14">
        <f>IF($C14="A",A14,"")</f>
        <v>5</v>
      </c>
      <c r="E14">
        <f>IF($C14="A",B14,"")</f>
        <v>2</v>
      </c>
      <c r="F14" t="str">
        <f>IF($C14="B",A14,"")</f>
        <v/>
      </c>
      <c r="G14" t="str">
        <f>IF($C14="B",B14,"")</f>
        <v/>
      </c>
      <c r="H14">
        <f t="shared" ref="H14:H22" si="10">SQRT((A14-D$23)^2+(B14-E$23)^2)</f>
        <v>2.6718699236468995</v>
      </c>
      <c r="I14">
        <f t="shared" ref="I14:I22" si="11">SQRT((A14-F$23)^2+(B14-G$23)^2)</f>
        <v>2.3570226039551581</v>
      </c>
      <c r="J14" t="str">
        <f>IF(H14&lt;I14,"A","B")</f>
        <v>B</v>
      </c>
      <c r="K14">
        <f t="shared" ref="K14:K22" si="12">IF(C14=J14,0,1)</f>
        <v>1</v>
      </c>
      <c r="M14">
        <f t="shared" ref="M14:M22" si="13">IF(D14&lt;&gt;"",D14,-1)</f>
        <v>5</v>
      </c>
      <c r="N14">
        <f t="shared" ref="N14:N22" si="14">IF(E14&lt;&gt;"",E14,-1)</f>
        <v>2</v>
      </c>
      <c r="O14">
        <f t="shared" ref="O14:O22" si="15">IF(F14&lt;&gt;"",F14,-1)</f>
        <v>-1</v>
      </c>
      <c r="P14">
        <f t="shared" ref="P14:P22" si="16">IF(G14&lt;&gt;"",G14,-1)</f>
        <v>-1</v>
      </c>
      <c r="AT14" s="1"/>
    </row>
    <row r="15" spans="1:54">
      <c r="A15">
        <f t="shared" ref="A15:B22" si="17">A3</f>
        <v>3</v>
      </c>
      <c r="B15">
        <f t="shared" si="17"/>
        <v>2</v>
      </c>
      <c r="C15" t="str">
        <f t="shared" ref="C15:C22" si="18">J3</f>
        <v>A</v>
      </c>
      <c r="D15">
        <f t="shared" ref="D15:E22" si="19">IF($C15="A",A15,"")</f>
        <v>3</v>
      </c>
      <c r="E15">
        <f t="shared" si="19"/>
        <v>2</v>
      </c>
      <c r="F15" t="str">
        <f t="shared" ref="F15:G22" si="20">IF($C15="B",A15,"")</f>
        <v/>
      </c>
      <c r="G15" t="str">
        <f t="shared" si="20"/>
        <v/>
      </c>
      <c r="H15">
        <f t="shared" si="10"/>
        <v>0.68718427093627654</v>
      </c>
      <c r="I15">
        <f t="shared" si="11"/>
        <v>2.8674417556808756</v>
      </c>
      <c r="J15" t="str">
        <f t="shared" ref="J15:J22" si="21">IF(H15&lt;I15,"A","B")</f>
        <v>A</v>
      </c>
      <c r="K15">
        <f t="shared" si="12"/>
        <v>0</v>
      </c>
      <c r="M15">
        <f t="shared" si="13"/>
        <v>3</v>
      </c>
      <c r="N15">
        <f t="shared" si="14"/>
        <v>2</v>
      </c>
      <c r="O15">
        <f t="shared" si="15"/>
        <v>-1</v>
      </c>
      <c r="P15">
        <f t="shared" si="16"/>
        <v>-1</v>
      </c>
      <c r="AT15" s="1"/>
    </row>
    <row r="16" spans="1:54">
      <c r="A16">
        <f t="shared" si="17"/>
        <v>1</v>
      </c>
      <c r="B16">
        <f t="shared" si="17"/>
        <v>1</v>
      </c>
      <c r="C16" t="str">
        <f t="shared" si="18"/>
        <v>A</v>
      </c>
      <c r="D16">
        <f t="shared" si="19"/>
        <v>1</v>
      </c>
      <c r="E16">
        <f t="shared" si="19"/>
        <v>1</v>
      </c>
      <c r="F16" t="str">
        <f t="shared" si="20"/>
        <v/>
      </c>
      <c r="G16" t="str">
        <f t="shared" si="20"/>
        <v/>
      </c>
      <c r="H16">
        <f t="shared" si="10"/>
        <v>1.7716909687891083</v>
      </c>
      <c r="I16">
        <f t="shared" si="11"/>
        <v>4.9553562491061687</v>
      </c>
      <c r="J16" t="str">
        <f t="shared" si="21"/>
        <v>A</v>
      </c>
      <c r="K16">
        <f t="shared" si="12"/>
        <v>0</v>
      </c>
      <c r="M16">
        <f t="shared" si="13"/>
        <v>1</v>
      </c>
      <c r="N16">
        <f t="shared" si="14"/>
        <v>1</v>
      </c>
      <c r="O16">
        <f t="shared" si="15"/>
        <v>-1</v>
      </c>
      <c r="P16">
        <f t="shared" si="16"/>
        <v>-1</v>
      </c>
      <c r="AT16" s="1"/>
    </row>
    <row r="17" spans="1:66">
      <c r="A17">
        <f t="shared" si="17"/>
        <v>2</v>
      </c>
      <c r="B17">
        <f t="shared" si="17"/>
        <v>1</v>
      </c>
      <c r="C17" t="str">
        <f t="shared" si="18"/>
        <v>A</v>
      </c>
      <c r="D17">
        <f t="shared" si="19"/>
        <v>2</v>
      </c>
      <c r="E17">
        <f t="shared" si="19"/>
        <v>1</v>
      </c>
      <c r="F17" t="str">
        <f t="shared" si="20"/>
        <v/>
      </c>
      <c r="G17" t="str">
        <f t="shared" si="20"/>
        <v/>
      </c>
      <c r="H17">
        <f t="shared" si="10"/>
        <v>1.2133516482134197</v>
      </c>
      <c r="I17">
        <f t="shared" si="11"/>
        <v>4.2687494916218993</v>
      </c>
      <c r="J17" t="str">
        <f t="shared" si="21"/>
        <v>A</v>
      </c>
      <c r="K17">
        <f t="shared" si="12"/>
        <v>0</v>
      </c>
      <c r="M17">
        <f t="shared" si="13"/>
        <v>2</v>
      </c>
      <c r="N17">
        <f t="shared" si="14"/>
        <v>1</v>
      </c>
      <c r="O17">
        <f t="shared" si="15"/>
        <v>-1</v>
      </c>
      <c r="P17">
        <f t="shared" si="16"/>
        <v>-1</v>
      </c>
      <c r="AT17" s="1"/>
    </row>
    <row r="18" spans="1:66">
      <c r="A18">
        <f t="shared" si="17"/>
        <v>2</v>
      </c>
      <c r="B18">
        <f t="shared" si="17"/>
        <v>3</v>
      </c>
      <c r="C18" t="str">
        <f t="shared" si="18"/>
        <v>A</v>
      </c>
      <c r="D18">
        <f t="shared" si="19"/>
        <v>2</v>
      </c>
      <c r="E18">
        <f t="shared" si="19"/>
        <v>3</v>
      </c>
      <c r="F18" t="str">
        <f t="shared" si="20"/>
        <v/>
      </c>
      <c r="G18" t="str">
        <f t="shared" si="20"/>
        <v/>
      </c>
      <c r="H18">
        <f t="shared" si="10"/>
        <v>0.89752746785575077</v>
      </c>
      <c r="I18">
        <f t="shared" si="11"/>
        <v>2.9814239699997196</v>
      </c>
      <c r="J18" t="str">
        <f t="shared" si="21"/>
        <v>A</v>
      </c>
      <c r="K18">
        <f t="shared" si="12"/>
        <v>0</v>
      </c>
      <c r="M18">
        <f t="shared" si="13"/>
        <v>2</v>
      </c>
      <c r="N18">
        <f t="shared" si="14"/>
        <v>3</v>
      </c>
      <c r="O18">
        <f t="shared" si="15"/>
        <v>-1</v>
      </c>
      <c r="P18">
        <f t="shared" si="16"/>
        <v>-1</v>
      </c>
    </row>
    <row r="19" spans="1:66">
      <c r="A19">
        <f t="shared" si="17"/>
        <v>1</v>
      </c>
      <c r="B19">
        <f t="shared" si="17"/>
        <v>4</v>
      </c>
      <c r="C19" t="str">
        <f t="shared" si="18"/>
        <v>A</v>
      </c>
      <c r="D19">
        <f t="shared" si="19"/>
        <v>1</v>
      </c>
      <c r="E19">
        <f t="shared" si="19"/>
        <v>4</v>
      </c>
      <c r="F19" t="str">
        <f t="shared" si="20"/>
        <v/>
      </c>
      <c r="G19" t="str">
        <f t="shared" si="20"/>
        <v/>
      </c>
      <c r="H19">
        <f t="shared" si="10"/>
        <v>2.2669117514559072</v>
      </c>
      <c r="I19">
        <f t="shared" si="11"/>
        <v>3.6817870057290873</v>
      </c>
      <c r="J19" t="str">
        <f t="shared" si="21"/>
        <v>A</v>
      </c>
      <c r="K19">
        <f t="shared" si="12"/>
        <v>0</v>
      </c>
      <c r="M19">
        <f t="shared" si="13"/>
        <v>1</v>
      </c>
      <c r="N19">
        <f t="shared" si="14"/>
        <v>4</v>
      </c>
      <c r="O19">
        <f t="shared" si="15"/>
        <v>-1</v>
      </c>
      <c r="P19">
        <f t="shared" si="16"/>
        <v>-1</v>
      </c>
    </row>
    <row r="20" spans="1:66">
      <c r="A20">
        <f t="shared" si="17"/>
        <v>4</v>
      </c>
      <c r="B20">
        <f t="shared" si="17"/>
        <v>4</v>
      </c>
      <c r="C20" t="str">
        <f t="shared" si="18"/>
        <v>B</v>
      </c>
      <c r="D20" t="str">
        <f t="shared" si="19"/>
        <v/>
      </c>
      <c r="E20" t="str">
        <f t="shared" si="19"/>
        <v/>
      </c>
      <c r="F20">
        <f t="shared" si="20"/>
        <v>4</v>
      </c>
      <c r="G20">
        <f t="shared" si="20"/>
        <v>4</v>
      </c>
      <c r="H20">
        <f t="shared" si="10"/>
        <v>2.4776781245530843</v>
      </c>
      <c r="I20">
        <f t="shared" si="11"/>
        <v>0.74535599249993001</v>
      </c>
      <c r="J20" t="str">
        <f t="shared" si="21"/>
        <v>B</v>
      </c>
      <c r="K20">
        <f t="shared" si="12"/>
        <v>0</v>
      </c>
      <c r="M20">
        <f t="shared" si="13"/>
        <v>-1</v>
      </c>
      <c r="N20">
        <f t="shared" si="14"/>
        <v>-1</v>
      </c>
      <c r="O20">
        <f t="shared" si="15"/>
        <v>4</v>
      </c>
      <c r="P20">
        <f t="shared" si="16"/>
        <v>4</v>
      </c>
    </row>
    <row r="21" spans="1:66">
      <c r="A21">
        <f t="shared" si="17"/>
        <v>5</v>
      </c>
      <c r="B21">
        <f t="shared" si="17"/>
        <v>5</v>
      </c>
      <c r="C21" t="str">
        <f t="shared" si="18"/>
        <v>B</v>
      </c>
      <c r="D21" t="str">
        <f t="shared" si="19"/>
        <v/>
      </c>
      <c r="E21" t="str">
        <f t="shared" si="19"/>
        <v/>
      </c>
      <c r="F21">
        <f t="shared" si="20"/>
        <v>5</v>
      </c>
      <c r="G21">
        <f t="shared" si="20"/>
        <v>5</v>
      </c>
      <c r="H21">
        <f t="shared" si="10"/>
        <v>3.8908725099762509</v>
      </c>
      <c r="I21">
        <f t="shared" si="11"/>
        <v>0.74535599249993001</v>
      </c>
      <c r="J21" t="str">
        <f t="shared" si="21"/>
        <v>B</v>
      </c>
      <c r="K21">
        <f t="shared" si="12"/>
        <v>0</v>
      </c>
      <c r="M21">
        <f t="shared" si="13"/>
        <v>-1</v>
      </c>
      <c r="N21">
        <f t="shared" si="14"/>
        <v>-1</v>
      </c>
      <c r="O21">
        <f t="shared" si="15"/>
        <v>5</v>
      </c>
      <c r="P21">
        <f t="shared" si="16"/>
        <v>5</v>
      </c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</row>
    <row r="22" spans="1:66">
      <c r="A22">
        <f t="shared" si="17"/>
        <v>5</v>
      </c>
      <c r="B22">
        <f t="shared" si="17"/>
        <v>4</v>
      </c>
      <c r="C22" t="str">
        <f t="shared" si="18"/>
        <v>B</v>
      </c>
      <c r="D22" t="str">
        <f t="shared" si="19"/>
        <v/>
      </c>
      <c r="E22" t="str">
        <f t="shared" si="19"/>
        <v/>
      </c>
      <c r="F22">
        <f t="shared" si="20"/>
        <v>5</v>
      </c>
      <c r="G22">
        <f t="shared" si="20"/>
        <v>4</v>
      </c>
      <c r="H22">
        <f t="shared" si="10"/>
        <v>3.2360813064912666</v>
      </c>
      <c r="I22">
        <f t="shared" si="11"/>
        <v>0.47140452079103123</v>
      </c>
      <c r="J22" t="str">
        <f t="shared" si="21"/>
        <v>B</v>
      </c>
      <c r="K22">
        <f t="shared" si="12"/>
        <v>0</v>
      </c>
      <c r="M22">
        <f t="shared" si="13"/>
        <v>-1</v>
      </c>
      <c r="N22">
        <f t="shared" si="14"/>
        <v>-1</v>
      </c>
      <c r="O22">
        <f t="shared" si="15"/>
        <v>5</v>
      </c>
      <c r="P22">
        <f t="shared" si="16"/>
        <v>4</v>
      </c>
    </row>
    <row r="23" spans="1:66">
      <c r="C23" t="s">
        <v>16</v>
      </c>
      <c r="D23">
        <f>AVERAGE(D14:D22)</f>
        <v>2.3333333333333335</v>
      </c>
      <c r="E23">
        <f>AVERAGE(E14:E22)</f>
        <v>2.1666666666666665</v>
      </c>
      <c r="F23">
        <f>AVERAGE(F14:F22)</f>
        <v>4.666666666666667</v>
      </c>
      <c r="G23">
        <f>AVERAGE(G14:G22)</f>
        <v>4.333333333333333</v>
      </c>
      <c r="K23">
        <f>SUM(K14:K22)</f>
        <v>1</v>
      </c>
      <c r="AT23" s="1"/>
    </row>
    <row r="24" spans="1:66">
      <c r="AT24" s="1"/>
    </row>
    <row r="25" spans="1:66">
      <c r="AT25" s="1"/>
    </row>
    <row r="26" spans="1:66">
      <c r="A26">
        <f>A14</f>
        <v>5</v>
      </c>
      <c r="B26">
        <f>B14</f>
        <v>2</v>
      </c>
      <c r="C26" t="str">
        <f>J14</f>
        <v>B</v>
      </c>
      <c r="D26" t="str">
        <f>IF($C26="A",A26,"")</f>
        <v/>
      </c>
      <c r="E26" t="str">
        <f>IF($C26="A",B26,"")</f>
        <v/>
      </c>
      <c r="F26">
        <f>IF($C26="B",A26,"")</f>
        <v>5</v>
      </c>
      <c r="G26">
        <f>IF($C26="B",B26,"")</f>
        <v>2</v>
      </c>
      <c r="H26">
        <f t="shared" ref="H26:H34" si="22">SQRT((A26-D$35)^2+(B26-E$35)^2)</f>
        <v>3.2062439083762797</v>
      </c>
      <c r="I26">
        <f t="shared" ref="I26:I34" si="23">SQRT((A26-F$35)^2+(B26-G$35)^2)</f>
        <v>1.7677669529663689</v>
      </c>
      <c r="J26" t="str">
        <f>IF(H26&lt;I26,"A","B")</f>
        <v>B</v>
      </c>
      <c r="K26">
        <f t="shared" ref="K26:K34" si="24">IF(C26=J26,0,1)</f>
        <v>0</v>
      </c>
      <c r="M26">
        <f>IF(D26&lt;&gt;"",D26,-1)</f>
        <v>-1</v>
      </c>
      <c r="N26">
        <f>IF(E26&lt;&gt;"",E26,-1)</f>
        <v>-1</v>
      </c>
      <c r="O26">
        <f>IF(F26&lt;&gt;"",F26,-1)</f>
        <v>5</v>
      </c>
      <c r="P26">
        <f>IF(G26&lt;&gt;"",G26,-1)</f>
        <v>2</v>
      </c>
      <c r="AT26" s="1"/>
    </row>
    <row r="27" spans="1:66">
      <c r="A27">
        <f t="shared" ref="A27:B34" si="25">A15</f>
        <v>3</v>
      </c>
      <c r="B27">
        <f t="shared" si="25"/>
        <v>2</v>
      </c>
      <c r="C27" t="str">
        <f t="shared" ref="C27:C34" si="26">J15</f>
        <v>A</v>
      </c>
      <c r="D27">
        <f t="shared" ref="D27:E34" si="27">IF($C27="A",A27,"")</f>
        <v>3</v>
      </c>
      <c r="E27">
        <f t="shared" si="27"/>
        <v>2</v>
      </c>
      <c r="F27" t="str">
        <f t="shared" ref="F27:G34" si="28">IF($C27="B",A27,"")</f>
        <v/>
      </c>
      <c r="G27" t="str">
        <f t="shared" si="28"/>
        <v/>
      </c>
      <c r="H27">
        <f t="shared" si="22"/>
        <v>1.2165525060596438</v>
      </c>
      <c r="I27">
        <f t="shared" si="23"/>
        <v>2.4748737341529163</v>
      </c>
      <c r="J27" t="str">
        <f t="shared" ref="J27:J34" si="29">IF(H27&lt;I27,"A","B")</f>
        <v>A</v>
      </c>
      <c r="K27">
        <f t="shared" si="24"/>
        <v>0</v>
      </c>
      <c r="M27">
        <f t="shared" ref="M27:P34" si="30">IF(D27&lt;&gt;"",D27,-1)</f>
        <v>3</v>
      </c>
      <c r="N27">
        <f t="shared" si="30"/>
        <v>2</v>
      </c>
      <c r="O27">
        <f t="shared" si="30"/>
        <v>-1</v>
      </c>
      <c r="P27">
        <f t="shared" si="30"/>
        <v>-1</v>
      </c>
      <c r="AT27" s="1"/>
    </row>
    <row r="28" spans="1:66">
      <c r="A28">
        <f t="shared" si="25"/>
        <v>1</v>
      </c>
      <c r="B28">
        <f t="shared" si="25"/>
        <v>1</v>
      </c>
      <c r="C28" t="str">
        <f t="shared" si="26"/>
        <v>A</v>
      </c>
      <c r="D28">
        <f t="shared" si="27"/>
        <v>1</v>
      </c>
      <c r="E28">
        <f t="shared" si="27"/>
        <v>1</v>
      </c>
      <c r="F28" t="str">
        <f t="shared" si="28"/>
        <v/>
      </c>
      <c r="G28" t="str">
        <f t="shared" si="28"/>
        <v/>
      </c>
      <c r="H28">
        <f t="shared" si="22"/>
        <v>1.4422205101855958</v>
      </c>
      <c r="I28">
        <f t="shared" si="23"/>
        <v>4.6502688094345688</v>
      </c>
      <c r="J28" t="str">
        <f t="shared" si="29"/>
        <v>A</v>
      </c>
      <c r="K28">
        <f t="shared" si="24"/>
        <v>0</v>
      </c>
      <c r="M28">
        <f t="shared" si="30"/>
        <v>1</v>
      </c>
      <c r="N28">
        <f t="shared" si="30"/>
        <v>1</v>
      </c>
      <c r="O28">
        <f t="shared" si="30"/>
        <v>-1</v>
      </c>
      <c r="P28">
        <f t="shared" si="30"/>
        <v>-1</v>
      </c>
      <c r="AT28" s="1"/>
    </row>
    <row r="29" spans="1:66">
      <c r="A29">
        <f t="shared" si="25"/>
        <v>2</v>
      </c>
      <c r="B29">
        <f t="shared" si="25"/>
        <v>1</v>
      </c>
      <c r="C29" t="str">
        <f t="shared" si="26"/>
        <v>A</v>
      </c>
      <c r="D29">
        <f t="shared" si="27"/>
        <v>2</v>
      </c>
      <c r="E29">
        <f t="shared" si="27"/>
        <v>1</v>
      </c>
      <c r="F29" t="str">
        <f t="shared" si="28"/>
        <v/>
      </c>
      <c r="G29" t="str">
        <f t="shared" si="28"/>
        <v/>
      </c>
      <c r="H29">
        <f t="shared" si="22"/>
        <v>1.216552506059644</v>
      </c>
      <c r="I29">
        <f t="shared" si="23"/>
        <v>3.8890872965260113</v>
      </c>
      <c r="J29" t="str">
        <f t="shared" si="29"/>
        <v>A</v>
      </c>
      <c r="K29">
        <f t="shared" si="24"/>
        <v>0</v>
      </c>
      <c r="M29">
        <f t="shared" si="30"/>
        <v>2</v>
      </c>
      <c r="N29">
        <f t="shared" si="30"/>
        <v>1</v>
      </c>
      <c r="O29">
        <f t="shared" si="30"/>
        <v>-1</v>
      </c>
      <c r="P29">
        <f t="shared" si="30"/>
        <v>-1</v>
      </c>
      <c r="AT29" s="1"/>
    </row>
    <row r="30" spans="1:66">
      <c r="A30">
        <f t="shared" si="25"/>
        <v>2</v>
      </c>
      <c r="B30">
        <f t="shared" si="25"/>
        <v>3</v>
      </c>
      <c r="C30" t="str">
        <f t="shared" si="26"/>
        <v>A</v>
      </c>
      <c r="D30">
        <f t="shared" si="27"/>
        <v>2</v>
      </c>
      <c r="E30">
        <f t="shared" si="27"/>
        <v>3</v>
      </c>
      <c r="F30" t="str">
        <f t="shared" si="28"/>
        <v/>
      </c>
      <c r="G30" t="str">
        <f t="shared" si="28"/>
        <v/>
      </c>
      <c r="H30">
        <f t="shared" si="22"/>
        <v>0.82462112512353192</v>
      </c>
      <c r="I30">
        <f t="shared" si="23"/>
        <v>2.8504385627478448</v>
      </c>
      <c r="J30" t="str">
        <f t="shared" si="29"/>
        <v>A</v>
      </c>
      <c r="K30">
        <f t="shared" si="24"/>
        <v>0</v>
      </c>
      <c r="M30">
        <f t="shared" si="30"/>
        <v>2</v>
      </c>
      <c r="N30">
        <f t="shared" si="30"/>
        <v>3</v>
      </c>
      <c r="O30">
        <f t="shared" si="30"/>
        <v>-1</v>
      </c>
      <c r="P30">
        <f t="shared" si="30"/>
        <v>-1</v>
      </c>
      <c r="AT30" s="1"/>
    </row>
    <row r="31" spans="1:66">
      <c r="A31">
        <f t="shared" si="25"/>
        <v>1</v>
      </c>
      <c r="B31">
        <f t="shared" si="25"/>
        <v>4</v>
      </c>
      <c r="C31" t="str">
        <f t="shared" si="26"/>
        <v>A</v>
      </c>
      <c r="D31">
        <f t="shared" si="27"/>
        <v>1</v>
      </c>
      <c r="E31">
        <f t="shared" si="27"/>
        <v>4</v>
      </c>
      <c r="F31" t="str">
        <f t="shared" si="28"/>
        <v/>
      </c>
      <c r="G31" t="str">
        <f t="shared" si="28"/>
        <v/>
      </c>
      <c r="H31">
        <f t="shared" si="22"/>
        <v>1.9697715603592207</v>
      </c>
      <c r="I31">
        <f t="shared" si="23"/>
        <v>3.758324094593227</v>
      </c>
      <c r="J31" t="str">
        <f t="shared" si="29"/>
        <v>A</v>
      </c>
      <c r="K31">
        <f t="shared" si="24"/>
        <v>0</v>
      </c>
      <c r="M31">
        <f t="shared" si="30"/>
        <v>1</v>
      </c>
      <c r="N31">
        <f t="shared" si="30"/>
        <v>4</v>
      </c>
      <c r="O31">
        <f t="shared" si="30"/>
        <v>-1</v>
      </c>
      <c r="P31">
        <f t="shared" si="30"/>
        <v>-1</v>
      </c>
      <c r="AT31" s="1"/>
    </row>
    <row r="32" spans="1:66">
      <c r="A32">
        <f t="shared" si="25"/>
        <v>4</v>
      </c>
      <c r="B32">
        <f t="shared" si="25"/>
        <v>4</v>
      </c>
      <c r="C32" t="str">
        <f t="shared" si="26"/>
        <v>B</v>
      </c>
      <c r="D32" t="str">
        <f t="shared" si="27"/>
        <v/>
      </c>
      <c r="E32" t="str">
        <f t="shared" si="27"/>
        <v/>
      </c>
      <c r="F32">
        <f t="shared" si="28"/>
        <v>4</v>
      </c>
      <c r="G32">
        <f t="shared" si="28"/>
        <v>4</v>
      </c>
      <c r="H32">
        <f t="shared" si="22"/>
        <v>2.8425340807103789</v>
      </c>
      <c r="I32">
        <f t="shared" si="23"/>
        <v>0.79056941504209488</v>
      </c>
      <c r="J32" t="str">
        <f t="shared" si="29"/>
        <v>B</v>
      </c>
      <c r="K32">
        <f t="shared" si="24"/>
        <v>0</v>
      </c>
      <c r="M32">
        <f t="shared" si="30"/>
        <v>-1</v>
      </c>
      <c r="N32">
        <f t="shared" si="30"/>
        <v>-1</v>
      </c>
      <c r="O32">
        <f t="shared" si="30"/>
        <v>4</v>
      </c>
      <c r="P32">
        <f t="shared" si="30"/>
        <v>4</v>
      </c>
      <c r="AT32" s="1"/>
    </row>
    <row r="33" spans="1:46">
      <c r="A33">
        <f t="shared" si="25"/>
        <v>5</v>
      </c>
      <c r="B33">
        <f t="shared" si="25"/>
        <v>5</v>
      </c>
      <c r="C33" t="str">
        <f t="shared" si="26"/>
        <v>B</v>
      </c>
      <c r="D33" t="str">
        <f t="shared" si="27"/>
        <v/>
      </c>
      <c r="E33" t="str">
        <f t="shared" si="27"/>
        <v/>
      </c>
      <c r="F33">
        <f t="shared" si="28"/>
        <v>5</v>
      </c>
      <c r="G33">
        <f t="shared" si="28"/>
        <v>5</v>
      </c>
      <c r="H33">
        <f t="shared" si="22"/>
        <v>4.2520583250938602</v>
      </c>
      <c r="I33">
        <f t="shared" si="23"/>
        <v>1.2747548783981961</v>
      </c>
      <c r="J33" t="str">
        <f t="shared" si="29"/>
        <v>B</v>
      </c>
      <c r="K33">
        <f t="shared" si="24"/>
        <v>0</v>
      </c>
      <c r="M33">
        <f t="shared" si="30"/>
        <v>-1</v>
      </c>
      <c r="N33">
        <f t="shared" si="30"/>
        <v>-1</v>
      </c>
      <c r="O33">
        <f t="shared" si="30"/>
        <v>5</v>
      </c>
      <c r="P33">
        <f t="shared" si="30"/>
        <v>5</v>
      </c>
      <c r="AT33" s="1"/>
    </row>
    <row r="34" spans="1:46">
      <c r="A34">
        <f t="shared" si="25"/>
        <v>5</v>
      </c>
      <c r="B34">
        <f t="shared" si="25"/>
        <v>4</v>
      </c>
      <c r="C34" t="str">
        <f t="shared" si="26"/>
        <v>B</v>
      </c>
      <c r="D34" t="str">
        <f t="shared" si="27"/>
        <v/>
      </c>
      <c r="E34" t="str">
        <f t="shared" si="27"/>
        <v/>
      </c>
      <c r="F34">
        <f t="shared" si="28"/>
        <v>5</v>
      </c>
      <c r="G34">
        <f t="shared" si="28"/>
        <v>4</v>
      </c>
      <c r="H34">
        <f t="shared" si="22"/>
        <v>3.6715119501371638</v>
      </c>
      <c r="I34">
        <f t="shared" si="23"/>
        <v>0.35355339059327379</v>
      </c>
      <c r="J34" t="str">
        <f t="shared" si="29"/>
        <v>B</v>
      </c>
      <c r="K34">
        <f t="shared" si="24"/>
        <v>0</v>
      </c>
      <c r="M34">
        <f t="shared" si="30"/>
        <v>-1</v>
      </c>
      <c r="N34">
        <f t="shared" si="30"/>
        <v>-1</v>
      </c>
      <c r="O34">
        <f t="shared" si="30"/>
        <v>5</v>
      </c>
      <c r="P34">
        <f t="shared" si="30"/>
        <v>4</v>
      </c>
      <c r="AT34" s="1"/>
    </row>
    <row r="35" spans="1:46">
      <c r="C35" t="s">
        <v>16</v>
      </c>
      <c r="D35">
        <f>AVERAGE(D26:D34)</f>
        <v>1.8</v>
      </c>
      <c r="E35">
        <f>AVERAGE(E26:E34)</f>
        <v>2.2000000000000002</v>
      </c>
      <c r="F35">
        <f>AVERAGE(F26:F34)</f>
        <v>4.75</v>
      </c>
      <c r="G35">
        <f>AVERAGE(G26:G34)</f>
        <v>3.75</v>
      </c>
      <c r="K35">
        <f>SUM(K26:K34)</f>
        <v>0</v>
      </c>
      <c r="AT35" s="1"/>
    </row>
    <row r="36" spans="1:46">
      <c r="AT36" s="1"/>
    </row>
    <row r="37" spans="1:46">
      <c r="AT37" s="1"/>
    </row>
    <row r="41" spans="1:46"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</row>
    <row r="43" spans="1:46">
      <c r="AT43" s="1"/>
    </row>
    <row r="44" spans="1:46">
      <c r="AT44" s="1"/>
    </row>
    <row r="45" spans="1:46">
      <c r="AT45" s="1"/>
    </row>
    <row r="46" spans="1:46">
      <c r="AT46" s="1"/>
    </row>
    <row r="47" spans="1:46">
      <c r="AT47" s="1"/>
    </row>
    <row r="48" spans="1:46">
      <c r="AT48" s="1"/>
    </row>
    <row r="49" spans="46:46">
      <c r="AT49" s="1"/>
    </row>
    <row r="50" spans="46:46">
      <c r="AT50" s="1"/>
    </row>
    <row r="51" spans="46:46">
      <c r="AT51" s="1"/>
    </row>
    <row r="52" spans="46:46">
      <c r="AT52" s="1"/>
    </row>
    <row r="53" spans="46:46">
      <c r="AT53" s="1"/>
    </row>
    <row r="54" spans="46:46">
      <c r="AT54" s="1"/>
    </row>
    <row r="55" spans="46:46">
      <c r="AT55" s="1"/>
    </row>
    <row r="56" spans="46:46">
      <c r="AT56" s="1"/>
    </row>
    <row r="57" spans="46:46">
      <c r="AT57" s="1"/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23</vt:i4>
      </vt:variant>
    </vt:vector>
  </HeadingPairs>
  <TitlesOfParts>
    <vt:vector size="23" baseType="lpstr">
      <vt:lpstr>0</vt:lpstr>
      <vt:lpstr>1</vt:lpstr>
      <vt:lpstr>2</vt:lpstr>
      <vt:lpstr>3</vt:lpstr>
      <vt:lpstr>2 (2)</vt:lpstr>
      <vt:lpstr>2 (3)</vt:lpstr>
      <vt:lpstr>2 (4)</vt:lpstr>
      <vt:lpstr>2 (5)</vt:lpstr>
      <vt:lpstr>2 (6)</vt:lpstr>
      <vt:lpstr>2 (7)</vt:lpstr>
      <vt:lpstr>2 (8)</vt:lpstr>
      <vt:lpstr>2 (9)</vt:lpstr>
      <vt:lpstr>2 (10)</vt:lpstr>
      <vt:lpstr>2 (11)</vt:lpstr>
      <vt:lpstr>2 (12)</vt:lpstr>
      <vt:lpstr>2 (13)</vt:lpstr>
      <vt:lpstr>2 (14)</vt:lpstr>
      <vt:lpstr>3分類</vt:lpstr>
      <vt:lpstr>3分類 (2)</vt:lpstr>
      <vt:lpstr>3分類 (3)</vt:lpstr>
      <vt:lpstr>3分類 (4)</vt:lpstr>
      <vt:lpstr>3分類 (5)</vt:lpstr>
      <vt:lpstr>3分類 (6)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2020-05-16T16:30:47Z</dcterms:modified>
</cp:coreProperties>
</file>