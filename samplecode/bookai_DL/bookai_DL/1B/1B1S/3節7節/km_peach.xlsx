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9"/>
  <workbookPr filterPrivacy="1"/>
  <xr:revisionPtr revIDLastSave="0" documentId="13_ncr:1_{F4B5DA9C-D08A-47B1-88AE-5912312182BA}" xr6:coauthVersionLast="36" xr6:coauthVersionMax="36" xr10:uidLastSave="{00000000-0000-0000-0000-000000000000}"/>
  <bookViews>
    <workbookView xWindow="0" yWindow="0" windowWidth="22260" windowHeight="12650" activeTab="2" xr2:uid="{00000000-000D-0000-FFFF-FFFF00000000}"/>
  </bookViews>
  <sheets>
    <sheet name="分類" sheetId="25" r:id="rId1"/>
    <sheet name="分類全手順" sheetId="27" r:id="rId2"/>
    <sheet name="分類 (2)" sheetId="2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28" l="1"/>
  <c r="M10" i="28" s="1"/>
  <c r="F9" i="28"/>
  <c r="G8" i="28"/>
  <c r="O8" i="28" s="1"/>
  <c r="F4" i="28"/>
  <c r="N4" i="28" s="1"/>
  <c r="G2" i="28"/>
  <c r="F6" i="28"/>
  <c r="N6" i="28" s="1"/>
  <c r="F5" i="28"/>
  <c r="N5" i="28" s="1"/>
  <c r="F3" i="28"/>
  <c r="N3" i="28" s="1"/>
  <c r="G9" i="28"/>
  <c r="O9" i="28" s="1"/>
  <c r="G7" i="28"/>
  <c r="O7" i="28" s="1"/>
  <c r="F7" i="28"/>
  <c r="N7" i="28" s="1"/>
  <c r="E7" i="28"/>
  <c r="M7" i="28" s="1"/>
  <c r="D7" i="28"/>
  <c r="L7" i="28" s="1"/>
  <c r="G6" i="28"/>
  <c r="O6" i="28" s="1"/>
  <c r="D6" i="28"/>
  <c r="L6" i="28" s="1"/>
  <c r="G5" i="28"/>
  <c r="O5" i="28" s="1"/>
  <c r="G4" i="28"/>
  <c r="O4" i="28" s="1"/>
  <c r="E4" i="28"/>
  <c r="M4" i="28" s="1"/>
  <c r="G3" i="28"/>
  <c r="O3" i="28" s="1"/>
  <c r="E3" i="28"/>
  <c r="M3" i="28" s="1"/>
  <c r="D3" i="28"/>
  <c r="L3" i="28" s="1"/>
  <c r="F2" i="28"/>
  <c r="N2" i="28" s="1"/>
  <c r="E2" i="28"/>
  <c r="D2" i="28"/>
  <c r="D8" i="28" l="1"/>
  <c r="L8" i="28" s="1"/>
  <c r="D4" i="28"/>
  <c r="L4" i="28" s="1"/>
  <c r="E8" i="28"/>
  <c r="M8" i="28" s="1"/>
  <c r="F8" i="28"/>
  <c r="N8" i="28" s="1"/>
  <c r="F10" i="28"/>
  <c r="N10" i="28" s="1"/>
  <c r="G10" i="28"/>
  <c r="O10" i="28" s="1"/>
  <c r="D5" i="28"/>
  <c r="L5" i="28" s="1"/>
  <c r="E5" i="28"/>
  <c r="M5" i="28" s="1"/>
  <c r="D10" i="28"/>
  <c r="L10" i="28" s="1"/>
  <c r="D9" i="28"/>
  <c r="L9" i="28" s="1"/>
  <c r="E6" i="28"/>
  <c r="M6" i="28" s="1"/>
  <c r="E9" i="28"/>
  <c r="M9" i="28" s="1"/>
  <c r="L2" i="28"/>
  <c r="M2" i="28"/>
  <c r="N9" i="28"/>
  <c r="O2" i="28"/>
  <c r="B33" i="27"/>
  <c r="A33" i="27"/>
  <c r="B29" i="27"/>
  <c r="A29" i="27"/>
  <c r="B22" i="27"/>
  <c r="B34" i="27" s="1"/>
  <c r="A22" i="27"/>
  <c r="A34" i="27" s="1"/>
  <c r="B21" i="27"/>
  <c r="A21" i="27"/>
  <c r="B20" i="27"/>
  <c r="B32" i="27" s="1"/>
  <c r="A20" i="27"/>
  <c r="B19" i="27"/>
  <c r="B31" i="27" s="1"/>
  <c r="A19" i="27"/>
  <c r="B18" i="27"/>
  <c r="B30" i="27" s="1"/>
  <c r="A18" i="27"/>
  <c r="A30" i="27" s="1"/>
  <c r="B17" i="27"/>
  <c r="A17" i="27"/>
  <c r="B16" i="27"/>
  <c r="B28" i="27" s="1"/>
  <c r="A16" i="27"/>
  <c r="B15" i="27"/>
  <c r="B27" i="27" s="1"/>
  <c r="A15" i="27"/>
  <c r="B14" i="27"/>
  <c r="B26" i="27" s="1"/>
  <c r="A14" i="27"/>
  <c r="A26" i="27" s="1"/>
  <c r="P10" i="27"/>
  <c r="N10" i="27"/>
  <c r="G10" i="27"/>
  <c r="F10" i="27"/>
  <c r="O10" i="27" s="1"/>
  <c r="E10" i="27"/>
  <c r="D10" i="27"/>
  <c r="M10" i="27" s="1"/>
  <c r="P9" i="27"/>
  <c r="N9" i="27"/>
  <c r="G9" i="27"/>
  <c r="F9" i="27"/>
  <c r="O9" i="27" s="1"/>
  <c r="E9" i="27"/>
  <c r="D9" i="27"/>
  <c r="M9" i="27" s="1"/>
  <c r="P8" i="27"/>
  <c r="N8" i="27"/>
  <c r="G8" i="27"/>
  <c r="F8" i="27"/>
  <c r="O8" i="27" s="1"/>
  <c r="E8" i="27"/>
  <c r="D8" i="27"/>
  <c r="M8" i="27" s="1"/>
  <c r="P7" i="27"/>
  <c r="G7" i="27"/>
  <c r="F7" i="27"/>
  <c r="O7" i="27" s="1"/>
  <c r="E7" i="27"/>
  <c r="N7" i="27" s="1"/>
  <c r="D7" i="27"/>
  <c r="M7" i="27" s="1"/>
  <c r="P6" i="27"/>
  <c r="G6" i="27"/>
  <c r="F6" i="27"/>
  <c r="O6" i="27" s="1"/>
  <c r="E6" i="27"/>
  <c r="N6" i="27" s="1"/>
  <c r="D6" i="27"/>
  <c r="M6" i="27" s="1"/>
  <c r="P5" i="27"/>
  <c r="G5" i="27"/>
  <c r="F5" i="27"/>
  <c r="O5" i="27" s="1"/>
  <c r="E5" i="27"/>
  <c r="N5" i="27" s="1"/>
  <c r="D5" i="27"/>
  <c r="M5" i="27" s="1"/>
  <c r="P4" i="27"/>
  <c r="G4" i="27"/>
  <c r="F4" i="27"/>
  <c r="O4" i="27" s="1"/>
  <c r="E4" i="27"/>
  <c r="N4" i="27" s="1"/>
  <c r="D4" i="27"/>
  <c r="M4" i="27" s="1"/>
  <c r="P3" i="27"/>
  <c r="G3" i="27"/>
  <c r="F3" i="27"/>
  <c r="O3" i="27" s="1"/>
  <c r="E3" i="27"/>
  <c r="N3" i="27" s="1"/>
  <c r="D3" i="27"/>
  <c r="M3" i="27" s="1"/>
  <c r="P2" i="27"/>
  <c r="G2" i="27"/>
  <c r="G11" i="27" s="1"/>
  <c r="F2" i="27"/>
  <c r="F11" i="27" s="1"/>
  <c r="E2" i="27"/>
  <c r="E11" i="27" s="1"/>
  <c r="D2" i="27"/>
  <c r="D11" i="27" s="1"/>
  <c r="G11" i="28" l="1"/>
  <c r="E11" i="28"/>
  <c r="F11" i="28"/>
  <c r="I7" i="28" s="1"/>
  <c r="D11" i="28"/>
  <c r="H10" i="27"/>
  <c r="J10" i="27" s="1"/>
  <c r="H8" i="27"/>
  <c r="H9" i="27"/>
  <c r="H7" i="27"/>
  <c r="H4" i="27"/>
  <c r="H3" i="27"/>
  <c r="H5" i="27"/>
  <c r="H2" i="27"/>
  <c r="H6" i="27"/>
  <c r="J6" i="27" s="1"/>
  <c r="M2" i="27"/>
  <c r="A27" i="27"/>
  <c r="A31" i="27"/>
  <c r="A28" i="27"/>
  <c r="I10" i="27"/>
  <c r="I9" i="27"/>
  <c r="I8" i="27"/>
  <c r="I7" i="27"/>
  <c r="I6" i="27"/>
  <c r="I5" i="27"/>
  <c r="I4" i="27"/>
  <c r="I3" i="27"/>
  <c r="I2" i="27"/>
  <c r="A32" i="27"/>
  <c r="N2" i="27"/>
  <c r="O2" i="27"/>
  <c r="H9" i="28" l="1"/>
  <c r="H6" i="28"/>
  <c r="H4" i="28"/>
  <c r="H3" i="28"/>
  <c r="I2" i="28"/>
  <c r="H8" i="28"/>
  <c r="H7" i="28"/>
  <c r="J7" i="28" s="1"/>
  <c r="K7" i="28" s="1"/>
  <c r="H5" i="28"/>
  <c r="H10" i="28"/>
  <c r="I10" i="28"/>
  <c r="I9" i="28"/>
  <c r="J9" i="28" s="1"/>
  <c r="K9" i="28" s="1"/>
  <c r="I8" i="28"/>
  <c r="I3" i="28"/>
  <c r="I4" i="28"/>
  <c r="I5" i="28"/>
  <c r="I6" i="28"/>
  <c r="H2" i="28"/>
  <c r="K6" i="27"/>
  <c r="C18" i="27"/>
  <c r="K10" i="27"/>
  <c r="C22" i="27"/>
  <c r="J2" i="27"/>
  <c r="J5" i="27"/>
  <c r="J3" i="27"/>
  <c r="J4" i="27"/>
  <c r="J7" i="27"/>
  <c r="J9" i="27"/>
  <c r="J8" i="27"/>
  <c r="J4" i="28" l="1"/>
  <c r="K4" i="28" s="1"/>
  <c r="J2" i="28"/>
  <c r="K2" i="28" s="1"/>
  <c r="J6" i="28"/>
  <c r="K6" i="28" s="1"/>
  <c r="J3" i="28"/>
  <c r="K3" i="28" s="1"/>
  <c r="J5" i="28"/>
  <c r="K5" i="28" s="1"/>
  <c r="J10" i="28"/>
  <c r="K10" i="28" s="1"/>
  <c r="J8" i="28"/>
  <c r="K8" i="28" s="1"/>
  <c r="C20" i="27"/>
  <c r="K8" i="27"/>
  <c r="K2" i="27"/>
  <c r="C14" i="27"/>
  <c r="C21" i="27"/>
  <c r="K9" i="27"/>
  <c r="F22" i="27"/>
  <c r="O22" i="27" s="1"/>
  <c r="E22" i="27"/>
  <c r="N22" i="27" s="1"/>
  <c r="G22" i="27"/>
  <c r="P22" i="27" s="1"/>
  <c r="D22" i="27"/>
  <c r="M22" i="27" s="1"/>
  <c r="C19" i="27"/>
  <c r="K7" i="27"/>
  <c r="F18" i="27"/>
  <c r="O18" i="27" s="1"/>
  <c r="E18" i="27"/>
  <c r="N18" i="27" s="1"/>
  <c r="G18" i="27"/>
  <c r="P18" i="27" s="1"/>
  <c r="D18" i="27"/>
  <c r="M18" i="27" s="1"/>
  <c r="C15" i="27"/>
  <c r="K3" i="27"/>
  <c r="C16" i="27"/>
  <c r="K4" i="27"/>
  <c r="C17" i="27"/>
  <c r="K5" i="27"/>
  <c r="K11" i="28" l="1"/>
  <c r="F14" i="27"/>
  <c r="E14" i="27"/>
  <c r="G14" i="27"/>
  <c r="D14" i="27"/>
  <c r="G19" i="27"/>
  <c r="P19" i="27" s="1"/>
  <c r="F19" i="27"/>
  <c r="O19" i="27" s="1"/>
  <c r="E19" i="27"/>
  <c r="N19" i="27" s="1"/>
  <c r="D19" i="27"/>
  <c r="M19" i="27" s="1"/>
  <c r="E17" i="27"/>
  <c r="N17" i="27" s="1"/>
  <c r="D17" i="27"/>
  <c r="M17" i="27" s="1"/>
  <c r="G17" i="27"/>
  <c r="P17" i="27" s="1"/>
  <c r="F17" i="27"/>
  <c r="O17" i="27" s="1"/>
  <c r="G15" i="27"/>
  <c r="P15" i="27" s="1"/>
  <c r="F15" i="27"/>
  <c r="O15" i="27" s="1"/>
  <c r="E15" i="27"/>
  <c r="N15" i="27" s="1"/>
  <c r="D15" i="27"/>
  <c r="M15" i="27" s="1"/>
  <c r="G16" i="27"/>
  <c r="P16" i="27" s="1"/>
  <c r="F16" i="27"/>
  <c r="O16" i="27" s="1"/>
  <c r="E16" i="27"/>
  <c r="N16" i="27" s="1"/>
  <c r="D16" i="27"/>
  <c r="M16" i="27" s="1"/>
  <c r="E21" i="27"/>
  <c r="N21" i="27" s="1"/>
  <c r="D21" i="27"/>
  <c r="M21" i="27" s="1"/>
  <c r="G21" i="27"/>
  <c r="P21" i="27" s="1"/>
  <c r="F21" i="27"/>
  <c r="O21" i="27" s="1"/>
  <c r="K11" i="27"/>
  <c r="G20" i="27"/>
  <c r="P20" i="27" s="1"/>
  <c r="F20" i="27"/>
  <c r="O20" i="27" s="1"/>
  <c r="E20" i="27"/>
  <c r="N20" i="27" s="1"/>
  <c r="D20" i="27"/>
  <c r="M20" i="27" s="1"/>
  <c r="M14" i="27" l="1"/>
  <c r="D23" i="27"/>
  <c r="G23" i="27"/>
  <c r="P14" i="27"/>
  <c r="N14" i="27"/>
  <c r="E23" i="27"/>
  <c r="O14" i="27"/>
  <c r="F23" i="27"/>
  <c r="H21" i="27" l="1"/>
  <c r="J21" i="27" s="1"/>
  <c r="H17" i="27"/>
  <c r="J17" i="27" s="1"/>
  <c r="H14" i="27"/>
  <c r="H22" i="27"/>
  <c r="J22" i="27" s="1"/>
  <c r="H18" i="27"/>
  <c r="H20" i="27"/>
  <c r="H19" i="27"/>
  <c r="J19" i="27" s="1"/>
  <c r="H16" i="27"/>
  <c r="J16" i="27" s="1"/>
  <c r="H15" i="27"/>
  <c r="I21" i="27"/>
  <c r="I17" i="27"/>
  <c r="I20" i="27"/>
  <c r="I14" i="27"/>
  <c r="I18" i="27"/>
  <c r="I22" i="27"/>
  <c r="I15" i="27"/>
  <c r="I19" i="27"/>
  <c r="I16" i="27"/>
  <c r="C33" i="27" l="1"/>
  <c r="K21" i="27"/>
  <c r="J15" i="27"/>
  <c r="C31" i="27"/>
  <c r="K19" i="27"/>
  <c r="J20" i="27"/>
  <c r="J18" i="27"/>
  <c r="C29" i="27"/>
  <c r="K17" i="27"/>
  <c r="C28" i="27"/>
  <c r="K16" i="27"/>
  <c r="C34" i="27"/>
  <c r="K22" i="27"/>
  <c r="J14" i="27"/>
  <c r="F34" i="27" l="1"/>
  <c r="O34" i="27" s="1"/>
  <c r="E34" i="27"/>
  <c r="N34" i="27" s="1"/>
  <c r="D34" i="27"/>
  <c r="M34" i="27" s="1"/>
  <c r="G34" i="27"/>
  <c r="P34" i="27" s="1"/>
  <c r="G29" i="27"/>
  <c r="P29" i="27" s="1"/>
  <c r="F29" i="27"/>
  <c r="O29" i="27" s="1"/>
  <c r="E29" i="27"/>
  <c r="N29" i="27" s="1"/>
  <c r="D29" i="27"/>
  <c r="M29" i="27" s="1"/>
  <c r="C30" i="27"/>
  <c r="K18" i="27"/>
  <c r="C32" i="27"/>
  <c r="K20" i="27"/>
  <c r="E31" i="27"/>
  <c r="N31" i="27" s="1"/>
  <c r="G31" i="27"/>
  <c r="P31" i="27" s="1"/>
  <c r="F31" i="27"/>
  <c r="O31" i="27" s="1"/>
  <c r="D31" i="27"/>
  <c r="M31" i="27" s="1"/>
  <c r="C27" i="27"/>
  <c r="K15" i="27"/>
  <c r="G28" i="27"/>
  <c r="P28" i="27" s="1"/>
  <c r="D28" i="27"/>
  <c r="M28" i="27" s="1"/>
  <c r="F28" i="27"/>
  <c r="O28" i="27" s="1"/>
  <c r="E28" i="27"/>
  <c r="N28" i="27" s="1"/>
  <c r="C26" i="27"/>
  <c r="K14" i="27"/>
  <c r="G33" i="27"/>
  <c r="P33" i="27" s="1"/>
  <c r="F33" i="27"/>
  <c r="O33" i="27" s="1"/>
  <c r="E33" i="27"/>
  <c r="N33" i="27" s="1"/>
  <c r="D33" i="27"/>
  <c r="M33" i="27" s="1"/>
  <c r="F30" i="27" l="1"/>
  <c r="O30" i="27" s="1"/>
  <c r="E30" i="27"/>
  <c r="N30" i="27" s="1"/>
  <c r="D30" i="27"/>
  <c r="M30" i="27" s="1"/>
  <c r="G30" i="27"/>
  <c r="P30" i="27" s="1"/>
  <c r="G27" i="27"/>
  <c r="P27" i="27" s="1"/>
  <c r="F27" i="27"/>
  <c r="O27" i="27" s="1"/>
  <c r="E27" i="27"/>
  <c r="N27" i="27" s="1"/>
  <c r="D27" i="27"/>
  <c r="M27" i="27" s="1"/>
  <c r="K23" i="27"/>
  <c r="F26" i="27"/>
  <c r="E26" i="27"/>
  <c r="D26" i="27"/>
  <c r="G26" i="27"/>
  <c r="G32" i="27"/>
  <c r="P32" i="27" s="1"/>
  <c r="D32" i="27"/>
  <c r="M32" i="27" s="1"/>
  <c r="F32" i="27"/>
  <c r="O32" i="27" s="1"/>
  <c r="E32" i="27"/>
  <c r="N32" i="27" s="1"/>
  <c r="F35" i="27" l="1"/>
  <c r="O26" i="27"/>
  <c r="G35" i="27"/>
  <c r="P26" i="27"/>
  <c r="D35" i="27"/>
  <c r="M26" i="27"/>
  <c r="E35" i="27"/>
  <c r="N26" i="27"/>
  <c r="I33" i="27" l="1"/>
  <c r="I30" i="27"/>
  <c r="I34" i="27"/>
  <c r="I29" i="27"/>
  <c r="I26" i="27"/>
  <c r="I32" i="27"/>
  <c r="I28" i="27"/>
  <c r="I31" i="27"/>
  <c r="I27" i="27"/>
  <c r="H33" i="27"/>
  <c r="H29" i="27"/>
  <c r="J29" i="27" s="1"/>
  <c r="K29" i="27" s="1"/>
  <c r="H26" i="27"/>
  <c r="J26" i="27" s="1"/>
  <c r="K26" i="27" s="1"/>
  <c r="H30" i="27"/>
  <c r="H34" i="27"/>
  <c r="J34" i="27" s="1"/>
  <c r="K34" i="27" s="1"/>
  <c r="H27" i="27"/>
  <c r="H32" i="27"/>
  <c r="J32" i="27" s="1"/>
  <c r="K32" i="27" s="1"/>
  <c r="H28" i="27"/>
  <c r="H31" i="27"/>
  <c r="J31" i="27" l="1"/>
  <c r="K31" i="27" s="1"/>
  <c r="J28" i="27"/>
  <c r="K28" i="27" s="1"/>
  <c r="J30" i="27"/>
  <c r="K30" i="27" s="1"/>
  <c r="J33" i="27"/>
  <c r="K33" i="27" s="1"/>
  <c r="J27" i="27"/>
  <c r="K27" i="27" s="1"/>
  <c r="K35" i="27" s="1"/>
  <c r="G10" i="25" l="1"/>
  <c r="O10" i="25" s="1"/>
  <c r="F10" i="25"/>
  <c r="N10" i="25" s="1"/>
  <c r="E10" i="25"/>
  <c r="M10" i="25" s="1"/>
  <c r="D10" i="25"/>
  <c r="L10" i="25" s="1"/>
  <c r="G9" i="25"/>
  <c r="O9" i="25" s="1"/>
  <c r="F9" i="25"/>
  <c r="N9" i="25" s="1"/>
  <c r="E9" i="25"/>
  <c r="M9" i="25" s="1"/>
  <c r="D9" i="25"/>
  <c r="L9" i="25" s="1"/>
  <c r="G8" i="25"/>
  <c r="O8" i="25" s="1"/>
  <c r="F8" i="25"/>
  <c r="N8" i="25" s="1"/>
  <c r="E8" i="25"/>
  <c r="M8" i="25" s="1"/>
  <c r="D8" i="25"/>
  <c r="L8" i="25" s="1"/>
  <c r="G7" i="25"/>
  <c r="O7" i="25" s="1"/>
  <c r="F7" i="25"/>
  <c r="N7" i="25" s="1"/>
  <c r="E7" i="25"/>
  <c r="M7" i="25" s="1"/>
  <c r="D7" i="25"/>
  <c r="L7" i="25" s="1"/>
  <c r="G6" i="25"/>
  <c r="O6" i="25" s="1"/>
  <c r="F6" i="25"/>
  <c r="N6" i="25" s="1"/>
  <c r="E6" i="25"/>
  <c r="M6" i="25" s="1"/>
  <c r="D6" i="25"/>
  <c r="L6" i="25" s="1"/>
  <c r="G5" i="25"/>
  <c r="O5" i="25" s="1"/>
  <c r="F5" i="25"/>
  <c r="N5" i="25" s="1"/>
  <c r="E5" i="25"/>
  <c r="M5" i="25" s="1"/>
  <c r="D5" i="25"/>
  <c r="L5" i="25" s="1"/>
  <c r="G4" i="25"/>
  <c r="O4" i="25" s="1"/>
  <c r="F4" i="25"/>
  <c r="N4" i="25" s="1"/>
  <c r="E4" i="25"/>
  <c r="M4" i="25" s="1"/>
  <c r="D4" i="25"/>
  <c r="L4" i="25" s="1"/>
  <c r="G3" i="25"/>
  <c r="O3" i="25" s="1"/>
  <c r="F3" i="25"/>
  <c r="N3" i="25" s="1"/>
  <c r="E3" i="25"/>
  <c r="M3" i="25" s="1"/>
  <c r="D3" i="25"/>
  <c r="L3" i="25" s="1"/>
  <c r="G2" i="25"/>
  <c r="F2" i="25"/>
  <c r="E2" i="25"/>
  <c r="M2" i="25" s="1"/>
  <c r="D2" i="25"/>
  <c r="G11" i="25" l="1"/>
  <c r="O2" i="25"/>
  <c r="F11" i="25"/>
  <c r="N2" i="25"/>
  <c r="E11" i="25"/>
  <c r="D11" i="25"/>
  <c r="L2" i="25"/>
  <c r="H10" i="25" l="1"/>
  <c r="H9" i="25"/>
  <c r="H8" i="25"/>
  <c r="H7" i="25"/>
  <c r="H6" i="25"/>
  <c r="H5" i="25"/>
  <c r="H4" i="25"/>
  <c r="H3" i="25"/>
  <c r="H2" i="25"/>
  <c r="I10" i="25"/>
  <c r="I9" i="25"/>
  <c r="I8" i="25"/>
  <c r="I7" i="25"/>
  <c r="I6" i="25"/>
  <c r="I5" i="25"/>
  <c r="I4" i="25"/>
  <c r="I3" i="25"/>
  <c r="I2" i="25"/>
  <c r="J3" i="25" l="1"/>
  <c r="K3" i="25" s="1"/>
  <c r="J7" i="25"/>
  <c r="K7" i="25" s="1"/>
  <c r="J9" i="25"/>
  <c r="K9" i="25" s="1"/>
  <c r="J2" i="25"/>
  <c r="J4" i="25"/>
  <c r="J5" i="25"/>
  <c r="J6" i="25"/>
  <c r="J8" i="25"/>
  <c r="J10" i="25"/>
  <c r="K10" i="25" l="1"/>
  <c r="K8" i="25"/>
  <c r="K2" i="25"/>
  <c r="K6" i="25"/>
  <c r="K5" i="25"/>
  <c r="K4" i="25"/>
  <c r="K11" i="25" l="1"/>
</calcChain>
</file>

<file path=xl/sharedStrings.xml><?xml version="1.0" encoding="utf-8"?>
<sst xmlns="http://schemas.openxmlformats.org/spreadsheetml/2006/main" count="60" uniqueCount="15">
  <si>
    <t>A</t>
    <phoneticPr fontId="1"/>
  </si>
  <si>
    <t>B</t>
    <phoneticPr fontId="1"/>
  </si>
  <si>
    <t>s</t>
    <phoneticPr fontId="1"/>
  </si>
  <si>
    <t>データ</t>
    <phoneticPr fontId="1"/>
  </si>
  <si>
    <t>Aグループ</t>
    <phoneticPr fontId="1"/>
  </si>
  <si>
    <t>Bグループ</t>
    <phoneticPr fontId="1"/>
  </si>
  <si>
    <t>重心Aまで
の距離</t>
    <rPh sb="0" eb="2">
      <t>ジュウシン</t>
    </rPh>
    <rPh sb="7" eb="9">
      <t>キョリ</t>
    </rPh>
    <phoneticPr fontId="1"/>
  </si>
  <si>
    <t>重心Bまで
の距離</t>
    <rPh sb="0" eb="2">
      <t>ジュウシン</t>
    </rPh>
    <rPh sb="7" eb="9">
      <t>キョリ</t>
    </rPh>
    <phoneticPr fontId="1"/>
  </si>
  <si>
    <t>新規
グループ</t>
    <rPh sb="0" eb="2">
      <t>シンキ</t>
    </rPh>
    <phoneticPr fontId="1"/>
  </si>
  <si>
    <t>グループ</t>
    <phoneticPr fontId="1"/>
  </si>
  <si>
    <t>変更
あり/なし</t>
    <rPh sb="0" eb="2">
      <t>ヘンコウ</t>
    </rPh>
    <phoneticPr fontId="1"/>
  </si>
  <si>
    <t>グラフ用データ</t>
    <rPh sb="3" eb="4">
      <t>ヨウ</t>
    </rPh>
    <phoneticPr fontId="1"/>
  </si>
  <si>
    <t>重心-&gt;</t>
    <rPh sb="0" eb="2">
      <t>ジュウシン</t>
    </rPh>
    <phoneticPr fontId="1"/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</si>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</sst>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600831514673193E-2"/>
          <c:w val="0.78943960952249392"/>
          <c:h val="0.79042174112947028"/>
        </c:manualLayout>
      </c:layout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triangle"/>
            <c:size val="20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分類!$D$11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分類!$E$11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2A-4CFD-A5F9-243907548C3A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triang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分類!$F$11</c:f>
              <c:numCache>
                <c:formatCode>General</c:formatCode>
                <c:ptCount val="1"/>
                <c:pt idx="0">
                  <c:v>3.75</c:v>
                </c:pt>
              </c:numCache>
            </c:numRef>
          </c:xVal>
          <c:yVal>
            <c:numRef>
              <c:f>分類!$G$11</c:f>
              <c:numCache>
                <c:formatCode>General</c:formatCode>
                <c:ptCount val="1"/>
                <c:pt idx="0">
                  <c:v>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2A-4CFD-A5F9-243907548C3A}"/>
            </c:ext>
          </c:extLst>
        </c:ser>
        <c:ser>
          <c:idx val="0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分類!$L$2:$L$10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分類!$M$2:$M$10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2A-4CFD-A5F9-243907548C3A}"/>
            </c:ext>
          </c:extLst>
        </c:ser>
        <c:ser>
          <c:idx val="1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分類!$N$2:$N$10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分類!$O$2:$O$10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2A-4CFD-A5F9-243907548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600831514673193E-2"/>
          <c:w val="0.78943960952249392"/>
          <c:h val="0.79042174112947028"/>
        </c:manualLayout>
      </c:layout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triangle"/>
            <c:size val="20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分類全手順!$D$11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分類全手順!$E$11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48-4281-9507-FB970063D93C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triang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分類全手順!$F$11</c:f>
              <c:numCache>
                <c:formatCode>General</c:formatCode>
                <c:ptCount val="1"/>
                <c:pt idx="0">
                  <c:v>3.75</c:v>
                </c:pt>
              </c:numCache>
            </c:numRef>
          </c:xVal>
          <c:yVal>
            <c:numRef>
              <c:f>分類全手順!$G$11</c:f>
              <c:numCache>
                <c:formatCode>General</c:formatCode>
                <c:ptCount val="1"/>
                <c:pt idx="0">
                  <c:v>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48-4281-9507-FB970063D93C}"/>
            </c:ext>
          </c:extLst>
        </c:ser>
        <c:ser>
          <c:idx val="0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分類全手順!$M$2:$M$10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分類全手順!$N$2:$N$10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48-4281-9507-FB970063D93C}"/>
            </c:ext>
          </c:extLst>
        </c:ser>
        <c:ser>
          <c:idx val="1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分類全手順!$O$2:$O$10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分類全手順!$P$2:$P$10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48-4281-9507-FB970063D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600819634387812E-2"/>
          <c:w val="0.78943960952249392"/>
          <c:h val="0.81381360224708743"/>
        </c:manualLayout>
      </c:layout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triangle"/>
            <c:size val="20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分類全手順!$D$23</c:f>
              <c:numCache>
                <c:formatCode>General</c:formatCode>
                <c:ptCount val="1"/>
                <c:pt idx="0">
                  <c:v>2.3333333333333335</c:v>
                </c:pt>
              </c:numCache>
            </c:numRef>
          </c:xVal>
          <c:yVal>
            <c:numRef>
              <c:f>分類全手順!$E$23</c:f>
              <c:numCache>
                <c:formatCode>General</c:formatCode>
                <c:ptCount val="1"/>
                <c:pt idx="0">
                  <c:v>2.1666666666666665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D7-4A89-8497-7CD8A85571BB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triang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分類全手順!$F$23</c:f>
              <c:numCache>
                <c:formatCode>General</c:formatCode>
                <c:ptCount val="1"/>
                <c:pt idx="0">
                  <c:v>4.666666666666667</c:v>
                </c:pt>
              </c:numCache>
            </c:numRef>
          </c:xVal>
          <c:yVal>
            <c:numRef>
              <c:f>分類全手順!$G$23</c:f>
              <c:numCache>
                <c:formatCode>General</c:formatCode>
                <c:ptCount val="1"/>
                <c:pt idx="0">
                  <c:v>4.333333333333333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D7-4A89-8497-7CD8A85571BB}"/>
            </c:ext>
          </c:extLst>
        </c:ser>
        <c:ser>
          <c:idx val="0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分類全手順!$M$14:$M$22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分類全手順!$N$14:$N$22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D7-4A89-8497-7CD8A85571BB}"/>
            </c:ext>
          </c:extLst>
        </c:ser>
        <c:ser>
          <c:idx val="1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分類全手順!$O$14:$O$22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分類全手順!$P$14:$P$22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D7-4A89-8497-7CD8A85571BB}"/>
            </c:ext>
          </c:extLst>
        </c:ser>
        <c:ser>
          <c:idx val="2"/>
          <c:order val="4"/>
          <c:spPr>
            <a:ln w="25400" cap="rnd">
              <a:noFill/>
              <a:round/>
            </a:ln>
            <a:effectLst/>
          </c:spPr>
          <c:marker>
            <c:symbol val="triangle"/>
            <c:size val="20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分類全手順!$D$11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分類全手順!$E$11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D7-4A89-8497-7CD8A85571BB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triangle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</a:ln>
              <a:effectLst/>
            </c:spPr>
          </c:marker>
          <c:xVal>
            <c:numRef>
              <c:f>分類全手順!$F$11</c:f>
              <c:numCache>
                <c:formatCode>General</c:formatCode>
                <c:ptCount val="1"/>
                <c:pt idx="0">
                  <c:v>3.75</c:v>
                </c:pt>
              </c:numCache>
            </c:numRef>
          </c:xVal>
          <c:yVal>
            <c:numRef>
              <c:f>分類全手順!$G$11</c:f>
              <c:numCache>
                <c:formatCode>General</c:formatCode>
                <c:ptCount val="1"/>
                <c:pt idx="0">
                  <c:v>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D7-4A89-8497-7CD8A8557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600819634387812E-2"/>
          <c:w val="0.78943960952249392"/>
          <c:h val="0.79042178938159058"/>
        </c:manualLayout>
      </c:layout>
      <c:scatterChart>
        <c:scatterStyle val="lineMarker"/>
        <c:varyColors val="0"/>
        <c:ser>
          <c:idx val="5"/>
          <c:order val="0"/>
          <c:spPr>
            <a:ln w="25400" cap="rnd">
              <a:noFill/>
              <a:round/>
            </a:ln>
            <a:effectLst/>
          </c:spPr>
          <c:marker>
            <c:symbol val="triangle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</a:ln>
              <a:effectLst/>
            </c:spPr>
          </c:marker>
          <c:xVal>
            <c:numRef>
              <c:f>分類全手順!$F$23</c:f>
              <c:numCache>
                <c:formatCode>General</c:formatCode>
                <c:ptCount val="1"/>
                <c:pt idx="0">
                  <c:v>4.666666666666667</c:v>
                </c:pt>
              </c:numCache>
            </c:numRef>
          </c:xVal>
          <c:yVal>
            <c:numRef>
              <c:f>分類全手順!$G$23</c:f>
              <c:numCache>
                <c:formatCode>General</c:formatCode>
                <c:ptCount val="1"/>
                <c:pt idx="0">
                  <c:v>4.333333333333333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C6-4DDA-948B-890AB11DE575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triangle"/>
            <c:size val="20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prstDash val="sysDash"/>
              </a:ln>
              <a:effectLst/>
            </c:spPr>
          </c:marker>
          <c:xVal>
            <c:numRef>
              <c:f>分類全手順!$D$23</c:f>
              <c:numCache>
                <c:formatCode>General</c:formatCode>
                <c:ptCount val="1"/>
                <c:pt idx="0">
                  <c:v>2.3333333333333335</c:v>
                </c:pt>
              </c:numCache>
            </c:numRef>
          </c:xVal>
          <c:yVal>
            <c:numRef>
              <c:f>分類全手順!$E$23</c:f>
              <c:numCache>
                <c:formatCode>General</c:formatCode>
                <c:ptCount val="1"/>
                <c:pt idx="0">
                  <c:v>2.1666666666666665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C6-4DDA-948B-890AB11DE575}"/>
            </c:ext>
          </c:extLst>
        </c:ser>
        <c:ser>
          <c:idx val="3"/>
          <c:order val="2"/>
          <c:spPr>
            <a:ln w="25400" cap="rnd">
              <a:noFill/>
              <a:round/>
            </a:ln>
            <a:effectLst/>
          </c:spPr>
          <c:marker>
            <c:symbol val="triangle"/>
            <c:size val="20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分類全手順!$D$35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分類全手順!$E$35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C6-4DDA-948B-890AB11DE575}"/>
            </c:ext>
          </c:extLst>
        </c:ser>
        <c:ser>
          <c:idx val="4"/>
          <c:order val="3"/>
          <c:spPr>
            <a:ln w="25400" cap="rnd">
              <a:noFill/>
              <a:round/>
            </a:ln>
            <a:effectLst/>
          </c:spPr>
          <c:marker>
            <c:symbol val="triang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分類全手順!$F$35</c:f>
              <c:numCache>
                <c:formatCode>General</c:formatCode>
                <c:ptCount val="1"/>
                <c:pt idx="0">
                  <c:v>4.75</c:v>
                </c:pt>
              </c:numCache>
            </c:numRef>
          </c:xVal>
          <c:yVal>
            <c:numRef>
              <c:f>分類全手順!$G$35</c:f>
              <c:numCache>
                <c:formatCode>General</c:formatCode>
                <c:ptCount val="1"/>
                <c:pt idx="0">
                  <c:v>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C6-4DDA-948B-890AB11DE575}"/>
            </c:ext>
          </c:extLst>
        </c:ser>
        <c:ser>
          <c:idx val="0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分類全手順!$M$26:$M$34</c:f>
              <c:numCache>
                <c:formatCode>General</c:formatCode>
                <c:ptCount val="9"/>
                <c:pt idx="0">
                  <c:v>-1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分類全手順!$N$26:$N$34</c:f>
              <c:numCache>
                <c:formatCode>General</c:formatCode>
                <c:ptCount val="9"/>
                <c:pt idx="0">
                  <c:v>-1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C6-4DDA-948B-890AB11DE575}"/>
            </c:ext>
          </c:extLst>
        </c:ser>
        <c:ser>
          <c:idx val="1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分類全手順!$O$26:$O$34</c:f>
              <c:numCache>
                <c:formatCode>General</c:formatCode>
                <c:ptCount val="9"/>
                <c:pt idx="0">
                  <c:v>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分類全手順!$P$26:$P$34</c:f>
              <c:numCache>
                <c:formatCode>General</c:formatCode>
                <c:ptCount val="9"/>
                <c:pt idx="0">
                  <c:v>2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4C6-4DDA-948B-890AB11DE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80224264096645"/>
          <c:y val="5.3238258792250019E-2"/>
          <c:w val="0.79225258370965745"/>
          <c:h val="0.7900022539950853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分類全手順!$M$2:$M$10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分類全手順!$N$2:$N$10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B5-4067-8984-DE8776CBFE47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分類全手順!$O$2:$O$10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分類全手順!$P$2:$P$10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B5-4067-8984-DE8776CBF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600831514673193E-2"/>
          <c:w val="0.78943960952249392"/>
          <c:h val="0.7904217411294702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分類全手順!$M$2:$M$10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分類全手順!$N$2:$N$10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AC-4337-ABE4-A7A4BF6B9326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分類全手順!$O$2:$O$10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分類全手順!$P$2:$P$10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AC-4337-ABE4-A7A4BF6B9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600831514673193E-2"/>
          <c:w val="0.78943960952249392"/>
          <c:h val="0.79042174112947028"/>
        </c:manualLayout>
      </c:layout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triangle"/>
            <c:size val="20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'分類 (2)'!$D$11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'分類 (2)'!$E$11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A0-4E87-9F47-DAED46A7F1B0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triang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'分類 (2)'!$F$11</c:f>
              <c:numCache>
                <c:formatCode>General</c:formatCode>
                <c:ptCount val="1"/>
                <c:pt idx="0">
                  <c:v>4.75</c:v>
                </c:pt>
              </c:numCache>
            </c:numRef>
          </c:xVal>
          <c:yVal>
            <c:numRef>
              <c:f>'分類 (2)'!$G$11</c:f>
              <c:numCache>
                <c:formatCode>General</c:formatCode>
                <c:ptCount val="1"/>
                <c:pt idx="0">
                  <c:v>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A0-4E87-9F47-DAED46A7F1B0}"/>
            </c:ext>
          </c:extLst>
        </c:ser>
        <c:ser>
          <c:idx val="0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'分類 (2)'!$L$2:$L$10</c:f>
              <c:numCache>
                <c:formatCode>General</c:formatCode>
                <c:ptCount val="9"/>
                <c:pt idx="0">
                  <c:v>-1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'分類 (2)'!$M$2:$M$10</c:f>
              <c:numCache>
                <c:formatCode>General</c:formatCode>
                <c:ptCount val="9"/>
                <c:pt idx="0">
                  <c:v>-1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A0-4E87-9F47-DAED46A7F1B0}"/>
            </c:ext>
          </c:extLst>
        </c:ser>
        <c:ser>
          <c:idx val="1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'分類 (2)'!$N$2:$N$10</c:f>
              <c:numCache>
                <c:formatCode>General</c:formatCode>
                <c:ptCount val="9"/>
                <c:pt idx="0">
                  <c:v>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'分類 (2)'!$O$2:$O$10</c:f>
              <c:numCache>
                <c:formatCode>General</c:formatCode>
                <c:ptCount val="9"/>
                <c:pt idx="0">
                  <c:v>2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A0-4E87-9F47-DAED46A7F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36</xdr:col>
      <xdr:colOff>0</xdr:colOff>
      <xdr:row>20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A29ED01-2DB0-482C-8575-7D2ACF8769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</xdr:row>
      <xdr:rowOff>0</xdr:rowOff>
    </xdr:from>
    <xdr:to>
      <xdr:col>43</xdr:col>
      <xdr:colOff>0</xdr:colOff>
      <xdr:row>20</xdr:row>
      <xdr:rowOff>-1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EC62C23-D1DA-4216-987C-6F286CF3B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21</xdr:row>
      <xdr:rowOff>-1</xdr:rowOff>
    </xdr:from>
    <xdr:to>
      <xdr:col>43</xdr:col>
      <xdr:colOff>0</xdr:colOff>
      <xdr:row>40</xdr:row>
      <xdr:rowOff>-1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AEC4E88-EAD0-4E13-AD6C-86201460B7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41</xdr:row>
      <xdr:rowOff>0</xdr:rowOff>
    </xdr:from>
    <xdr:to>
      <xdr:col>43</xdr:col>
      <xdr:colOff>0</xdr:colOff>
      <xdr:row>60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1CCD436-B0BC-4E7E-B15F-D992E0F8C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230908</xdr:colOff>
      <xdr:row>1</xdr:row>
      <xdr:rowOff>1</xdr:rowOff>
    </xdr:from>
    <xdr:to>
      <xdr:col>67</xdr:col>
      <xdr:colOff>0</xdr:colOff>
      <xdr:row>20</xdr:row>
      <xdr:rowOff>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2CFE26F-D456-4178-97DF-1ABF463D1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0</xdr:colOff>
      <xdr:row>22</xdr:row>
      <xdr:rowOff>0</xdr:rowOff>
    </xdr:from>
    <xdr:to>
      <xdr:col>66</xdr:col>
      <xdr:colOff>158750</xdr:colOff>
      <xdr:row>40</xdr:row>
      <xdr:rowOff>228599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A3427D5-B238-4E3B-AD1F-4DAF80B32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36</xdr:col>
      <xdr:colOff>0</xdr:colOff>
      <xdr:row>20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DDCB2CC-96E0-463D-8129-4BCDCAD98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FB6A-6AC8-45C2-9F86-011347BB2112}">
  <dimension ref="A1:O11"/>
  <sheetViews>
    <sheetView zoomScale="85" zoomScaleNormal="85" workbookViewId="0">
      <selection activeCell="AN21" sqref="AN21"/>
    </sheetView>
  </sheetViews>
  <sheetFormatPr defaultRowHeight="18"/>
  <cols>
    <col min="4" max="7" width="8.6640625" customWidth="1"/>
    <col min="8" max="8" width="9.33203125" customWidth="1"/>
    <col min="9" max="9" width="9.75" customWidth="1"/>
    <col min="11" max="11" width="9.6640625" bestFit="1" customWidth="1"/>
    <col min="17" max="37" width="3" customWidth="1"/>
  </cols>
  <sheetData>
    <row r="1" spans="1:15" ht="44" customHeight="1">
      <c r="A1" t="s">
        <v>3</v>
      </c>
      <c r="C1" t="s">
        <v>9</v>
      </c>
      <c r="D1" t="s">
        <v>4</v>
      </c>
      <c r="F1" t="s">
        <v>5</v>
      </c>
      <c r="H1" s="2" t="s">
        <v>6</v>
      </c>
      <c r="I1" s="2" t="s">
        <v>7</v>
      </c>
      <c r="J1" s="2" t="s">
        <v>8</v>
      </c>
      <c r="K1" s="2" t="s">
        <v>10</v>
      </c>
      <c r="L1" s="2" t="s">
        <v>11</v>
      </c>
    </row>
    <row r="2" spans="1:15">
      <c r="A2">
        <v>5</v>
      </c>
      <c r="B2">
        <v>2</v>
      </c>
      <c r="C2" t="s">
        <v>0</v>
      </c>
      <c r="D2">
        <f>IF($C2="A",A2,"")</f>
        <v>5</v>
      </c>
      <c r="E2">
        <f>IF($C2="A",B2,"")</f>
        <v>2</v>
      </c>
      <c r="F2" t="str">
        <f>IF($C2="B",A2,"")</f>
        <v/>
      </c>
      <c r="G2" t="str">
        <f>IF($C2="B",B2,"")</f>
        <v/>
      </c>
      <c r="H2">
        <f t="shared" ref="H2:H10" si="0">SQRT((A2-D$11)^2+(B2-E$11)^2)</f>
        <v>2.4083189157584592</v>
      </c>
      <c r="I2">
        <f t="shared" ref="I2:I10" si="1">SQRT((A2-F$11)^2+(B2-G$11)^2)</f>
        <v>2.5739075352467502</v>
      </c>
      <c r="J2" t="str">
        <f>IF(H2&lt;I2,"A","B")</f>
        <v>A</v>
      </c>
      <c r="K2">
        <f t="shared" ref="K2:K10" si="2">IF(C2=J2,0,1)</f>
        <v>0</v>
      </c>
      <c r="L2">
        <f t="shared" ref="L2:O10" si="3">IF(D2&lt;&gt;"",D2,-1)</f>
        <v>5</v>
      </c>
      <c r="M2">
        <f t="shared" si="3"/>
        <v>2</v>
      </c>
      <c r="N2">
        <f t="shared" si="3"/>
        <v>-1</v>
      </c>
      <c r="O2">
        <f t="shared" si="3"/>
        <v>-1</v>
      </c>
    </row>
    <row r="3" spans="1:15">
      <c r="A3">
        <v>3</v>
      </c>
      <c r="B3">
        <v>2</v>
      </c>
      <c r="C3" t="s">
        <v>0</v>
      </c>
      <c r="D3">
        <f t="shared" ref="D3:E10" si="4">IF($C3="A",A3,"")</f>
        <v>3</v>
      </c>
      <c r="E3">
        <f t="shared" si="4"/>
        <v>2</v>
      </c>
      <c r="F3" t="str">
        <f t="shared" ref="F3:G10" si="5">IF($C3="B",A3,"")</f>
        <v/>
      </c>
      <c r="G3" t="str">
        <f t="shared" si="5"/>
        <v/>
      </c>
      <c r="H3">
        <f t="shared" si="0"/>
        <v>0.44721359549995782</v>
      </c>
      <c r="I3">
        <f t="shared" si="1"/>
        <v>2.3717082451262845</v>
      </c>
      <c r="J3" t="str">
        <f t="shared" ref="J3:J10" si="6">IF(H3&lt;I3,"A","B")</f>
        <v>A</v>
      </c>
      <c r="K3">
        <f t="shared" si="2"/>
        <v>0</v>
      </c>
      <c r="L3">
        <f t="shared" si="3"/>
        <v>3</v>
      </c>
      <c r="M3">
        <f t="shared" si="3"/>
        <v>2</v>
      </c>
      <c r="N3">
        <f t="shared" si="3"/>
        <v>-1</v>
      </c>
      <c r="O3">
        <f t="shared" si="3"/>
        <v>-1</v>
      </c>
    </row>
    <row r="4" spans="1:15">
      <c r="A4">
        <v>1</v>
      </c>
      <c r="B4">
        <v>1</v>
      </c>
      <c r="C4" t="s">
        <v>0</v>
      </c>
      <c r="D4">
        <f t="shared" si="4"/>
        <v>1</v>
      </c>
      <c r="E4">
        <f t="shared" si="4"/>
        <v>1</v>
      </c>
      <c r="F4" t="str">
        <f t="shared" si="5"/>
        <v/>
      </c>
      <c r="G4" t="str">
        <f t="shared" si="5"/>
        <v/>
      </c>
      <c r="H4">
        <f t="shared" si="0"/>
        <v>1.7888543819998319</v>
      </c>
      <c r="I4">
        <f t="shared" si="1"/>
        <v>4.2573465914816007</v>
      </c>
      <c r="J4" t="str">
        <f t="shared" si="6"/>
        <v>A</v>
      </c>
      <c r="K4">
        <f t="shared" si="2"/>
        <v>0</v>
      </c>
      <c r="L4">
        <f t="shared" si="3"/>
        <v>1</v>
      </c>
      <c r="M4">
        <f t="shared" si="3"/>
        <v>1</v>
      </c>
      <c r="N4">
        <f t="shared" si="3"/>
        <v>-1</v>
      </c>
      <c r="O4">
        <f t="shared" si="3"/>
        <v>-1</v>
      </c>
    </row>
    <row r="5" spans="1:15">
      <c r="A5">
        <v>2</v>
      </c>
      <c r="B5">
        <v>1</v>
      </c>
      <c r="C5" t="s">
        <v>0</v>
      </c>
      <c r="D5">
        <f t="shared" si="4"/>
        <v>2</v>
      </c>
      <c r="E5">
        <f t="shared" si="4"/>
        <v>1</v>
      </c>
      <c r="F5" t="str">
        <f t="shared" si="5"/>
        <v/>
      </c>
      <c r="G5" t="str">
        <f t="shared" si="5"/>
        <v/>
      </c>
      <c r="H5">
        <f t="shared" si="0"/>
        <v>1</v>
      </c>
      <c r="I5">
        <f t="shared" si="1"/>
        <v>3.6912057650583501</v>
      </c>
      <c r="J5" t="str">
        <f t="shared" si="6"/>
        <v>A</v>
      </c>
      <c r="K5">
        <f t="shared" si="2"/>
        <v>0</v>
      </c>
      <c r="L5">
        <f t="shared" si="3"/>
        <v>2</v>
      </c>
      <c r="M5">
        <f t="shared" si="3"/>
        <v>1</v>
      </c>
      <c r="N5">
        <f t="shared" si="3"/>
        <v>-1</v>
      </c>
      <c r="O5">
        <f t="shared" si="3"/>
        <v>-1</v>
      </c>
    </row>
    <row r="6" spans="1:15">
      <c r="A6">
        <v>2</v>
      </c>
      <c r="B6">
        <v>3</v>
      </c>
      <c r="C6" t="s">
        <v>0</v>
      </c>
      <c r="D6">
        <f t="shared" si="4"/>
        <v>2</v>
      </c>
      <c r="E6">
        <f t="shared" si="4"/>
        <v>3</v>
      </c>
      <c r="F6" t="str">
        <f t="shared" si="5"/>
        <v/>
      </c>
      <c r="G6" t="str">
        <f t="shared" si="5"/>
        <v/>
      </c>
      <c r="H6">
        <f t="shared" si="0"/>
        <v>1.3416407864998738</v>
      </c>
      <c r="I6">
        <f t="shared" si="1"/>
        <v>2.1505813167606567</v>
      </c>
      <c r="J6" t="str">
        <f t="shared" si="6"/>
        <v>A</v>
      </c>
      <c r="K6">
        <f t="shared" si="2"/>
        <v>0</v>
      </c>
      <c r="L6">
        <f t="shared" si="3"/>
        <v>2</v>
      </c>
      <c r="M6">
        <f t="shared" si="3"/>
        <v>3</v>
      </c>
      <c r="N6">
        <f t="shared" si="3"/>
        <v>-1</v>
      </c>
      <c r="O6">
        <f t="shared" si="3"/>
        <v>-1</v>
      </c>
    </row>
    <row r="7" spans="1:15">
      <c r="A7">
        <v>1</v>
      </c>
      <c r="B7">
        <v>4</v>
      </c>
      <c r="C7" t="s">
        <v>1</v>
      </c>
      <c r="D7" t="str">
        <f t="shared" si="4"/>
        <v/>
      </c>
      <c r="E7" t="str">
        <f t="shared" si="4"/>
        <v/>
      </c>
      <c r="F7">
        <f t="shared" si="5"/>
        <v>1</v>
      </c>
      <c r="G7">
        <f t="shared" si="5"/>
        <v>4</v>
      </c>
      <c r="H7">
        <f t="shared" si="0"/>
        <v>2.720294101747089</v>
      </c>
      <c r="I7">
        <f t="shared" si="1"/>
        <v>2.7613402542968153</v>
      </c>
      <c r="J7" t="str">
        <f t="shared" si="6"/>
        <v>A</v>
      </c>
      <c r="K7">
        <f t="shared" si="2"/>
        <v>1</v>
      </c>
      <c r="L7">
        <f t="shared" si="3"/>
        <v>-1</v>
      </c>
      <c r="M7">
        <f t="shared" si="3"/>
        <v>-1</v>
      </c>
      <c r="N7">
        <f t="shared" si="3"/>
        <v>1</v>
      </c>
      <c r="O7">
        <f t="shared" si="3"/>
        <v>4</v>
      </c>
    </row>
    <row r="8" spans="1:15">
      <c r="A8">
        <v>4</v>
      </c>
      <c r="B8">
        <v>4</v>
      </c>
      <c r="C8" t="s">
        <v>1</v>
      </c>
      <c r="D8" t="str">
        <f t="shared" si="4"/>
        <v/>
      </c>
      <c r="E8" t="str">
        <f t="shared" si="4"/>
        <v/>
      </c>
      <c r="F8">
        <f t="shared" si="5"/>
        <v>4</v>
      </c>
      <c r="G8">
        <f t="shared" si="5"/>
        <v>4</v>
      </c>
      <c r="H8">
        <f t="shared" si="0"/>
        <v>2.6076809620810595</v>
      </c>
      <c r="I8">
        <f t="shared" si="1"/>
        <v>0.35355339059327379</v>
      </c>
      <c r="J8" t="str">
        <f t="shared" si="6"/>
        <v>B</v>
      </c>
      <c r="K8">
        <f t="shared" si="2"/>
        <v>0</v>
      </c>
      <c r="L8">
        <f t="shared" si="3"/>
        <v>-1</v>
      </c>
      <c r="M8">
        <f t="shared" si="3"/>
        <v>-1</v>
      </c>
      <c r="N8">
        <f t="shared" si="3"/>
        <v>4</v>
      </c>
      <c r="O8">
        <f t="shared" si="3"/>
        <v>4</v>
      </c>
    </row>
    <row r="9" spans="1:15">
      <c r="A9">
        <v>5</v>
      </c>
      <c r="B9">
        <v>5</v>
      </c>
      <c r="C9" t="s">
        <v>1</v>
      </c>
      <c r="D9" t="str">
        <f t="shared" si="4"/>
        <v/>
      </c>
      <c r="E9" t="str">
        <f t="shared" si="4"/>
        <v/>
      </c>
      <c r="F9">
        <f t="shared" si="5"/>
        <v>5</v>
      </c>
      <c r="G9">
        <f t="shared" si="5"/>
        <v>5</v>
      </c>
      <c r="H9">
        <f t="shared" si="0"/>
        <v>4</v>
      </c>
      <c r="I9">
        <f t="shared" si="1"/>
        <v>1.4577379737113252</v>
      </c>
      <c r="J9" t="str">
        <f t="shared" si="6"/>
        <v>B</v>
      </c>
      <c r="K9">
        <f t="shared" si="2"/>
        <v>0</v>
      </c>
      <c r="L9">
        <f t="shared" si="3"/>
        <v>-1</v>
      </c>
      <c r="M9">
        <f t="shared" si="3"/>
        <v>-1</v>
      </c>
      <c r="N9">
        <f t="shared" si="3"/>
        <v>5</v>
      </c>
      <c r="O9">
        <f t="shared" si="3"/>
        <v>5</v>
      </c>
    </row>
    <row r="10" spans="1:15" ht="18.5" thickBot="1">
      <c r="A10">
        <v>5</v>
      </c>
      <c r="B10">
        <v>4</v>
      </c>
      <c r="C10" t="s">
        <v>1</v>
      </c>
      <c r="D10" t="str">
        <f t="shared" si="4"/>
        <v/>
      </c>
      <c r="E10" t="str">
        <f t="shared" si="4"/>
        <v/>
      </c>
      <c r="F10">
        <f t="shared" si="5"/>
        <v>5</v>
      </c>
      <c r="G10">
        <f t="shared" si="5"/>
        <v>4</v>
      </c>
      <c r="H10">
        <f t="shared" si="0"/>
        <v>3.2557641192199416</v>
      </c>
      <c r="I10">
        <f t="shared" si="1"/>
        <v>1.2747548783981961</v>
      </c>
      <c r="J10" t="str">
        <f t="shared" si="6"/>
        <v>B</v>
      </c>
      <c r="K10">
        <f t="shared" si="2"/>
        <v>0</v>
      </c>
      <c r="L10">
        <f t="shared" si="3"/>
        <v>-1</v>
      </c>
      <c r="M10">
        <f t="shared" si="3"/>
        <v>-1</v>
      </c>
      <c r="N10">
        <f t="shared" si="3"/>
        <v>5</v>
      </c>
      <c r="O10">
        <f t="shared" si="3"/>
        <v>4</v>
      </c>
    </row>
    <row r="11" spans="1:15" ht="18.5" thickBot="1">
      <c r="C11" t="s">
        <v>12</v>
      </c>
      <c r="D11" s="3">
        <f>AVERAGE(D2:D10)</f>
        <v>2.6</v>
      </c>
      <c r="E11" s="4">
        <f>AVERAGE(E2:E10)</f>
        <v>1.8</v>
      </c>
      <c r="F11" s="4">
        <f>AVERAGE(F2:F10)</f>
        <v>3.75</v>
      </c>
      <c r="G11" s="5">
        <f>AVERAGE(G2:G10)</f>
        <v>4.25</v>
      </c>
      <c r="K11">
        <f>SUM(K2:K10)</f>
        <v>1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5FFD-FB21-4A89-A469-DE8DDEB88016}">
  <dimension ref="A1:BN57"/>
  <sheetViews>
    <sheetView zoomScale="70" zoomScaleNormal="70" workbookViewId="0">
      <selection activeCell="R49" sqref="R49"/>
    </sheetView>
  </sheetViews>
  <sheetFormatPr defaultRowHeight="18"/>
  <cols>
    <col min="4" max="7" width="8.6640625" customWidth="1"/>
    <col min="8" max="9" width="13.4140625" bestFit="1" customWidth="1"/>
    <col min="11" max="11" width="9.6640625" bestFit="1" customWidth="1"/>
    <col min="20" max="55" width="3" customWidth="1"/>
    <col min="56" max="83" width="3.08203125" customWidth="1"/>
  </cols>
  <sheetData>
    <row r="1" spans="1:54" ht="44" customHeight="1">
      <c r="A1" t="s">
        <v>3</v>
      </c>
      <c r="C1" t="s">
        <v>9</v>
      </c>
      <c r="D1" t="s">
        <v>4</v>
      </c>
      <c r="F1" t="s">
        <v>5</v>
      </c>
      <c r="H1" s="2" t="s">
        <v>6</v>
      </c>
      <c r="I1" s="2" t="s">
        <v>7</v>
      </c>
      <c r="J1" s="2" t="s">
        <v>8</v>
      </c>
      <c r="K1" s="2" t="s">
        <v>10</v>
      </c>
      <c r="M1" s="2" t="s">
        <v>11</v>
      </c>
    </row>
    <row r="2" spans="1:54">
      <c r="A2">
        <v>5</v>
      </c>
      <c r="B2">
        <v>2</v>
      </c>
      <c r="C2" t="s">
        <v>0</v>
      </c>
      <c r="D2">
        <f>IF($C2="A",A2,"")</f>
        <v>5</v>
      </c>
      <c r="E2">
        <f>IF($C2="A",B2,"")</f>
        <v>2</v>
      </c>
      <c r="F2" t="str">
        <f>IF($C2="B",A2,"")</f>
        <v/>
      </c>
      <c r="G2" t="str">
        <f>IF($C2="B",B2,"")</f>
        <v/>
      </c>
      <c r="H2">
        <f t="shared" ref="H2:H10" si="0">SQRT((A2-D$11)^2+(B2-E$11)^2)</f>
        <v>2.4083189157584592</v>
      </c>
      <c r="I2">
        <f t="shared" ref="I2:I10" si="1">SQRT((A2-F$11)^2+(B2-G$11)^2)</f>
        <v>2.5739075352467502</v>
      </c>
      <c r="J2" t="str">
        <f>IF(H2&lt;I2,"A","B")</f>
        <v>A</v>
      </c>
      <c r="K2">
        <f t="shared" ref="K2:K10" si="2">IF(C2=J2,0,1)</f>
        <v>0</v>
      </c>
      <c r="M2">
        <f t="shared" ref="M2:P10" si="3">IF(D2&lt;&gt;"",D2,-1)</f>
        <v>5</v>
      </c>
      <c r="N2">
        <f t="shared" si="3"/>
        <v>2</v>
      </c>
      <c r="O2">
        <f t="shared" si="3"/>
        <v>-1</v>
      </c>
      <c r="P2">
        <f t="shared" si="3"/>
        <v>-1</v>
      </c>
    </row>
    <row r="3" spans="1:54">
      <c r="A3">
        <v>3</v>
      </c>
      <c r="B3">
        <v>2</v>
      </c>
      <c r="C3" t="s">
        <v>0</v>
      </c>
      <c r="D3">
        <f t="shared" ref="D3:E10" si="4">IF($C3="A",A3,"")</f>
        <v>3</v>
      </c>
      <c r="E3">
        <f t="shared" si="4"/>
        <v>2</v>
      </c>
      <c r="F3" t="str">
        <f t="shared" ref="F3:G10" si="5">IF($C3="B",A3,"")</f>
        <v/>
      </c>
      <c r="G3" t="str">
        <f t="shared" si="5"/>
        <v/>
      </c>
      <c r="H3">
        <f t="shared" si="0"/>
        <v>0.44721359549995782</v>
      </c>
      <c r="I3">
        <f t="shared" si="1"/>
        <v>2.3717082451262845</v>
      </c>
      <c r="J3" t="str">
        <f t="shared" ref="J3:J10" si="6">IF(H3&lt;I3,"A","B")</f>
        <v>A</v>
      </c>
      <c r="K3">
        <f t="shared" si="2"/>
        <v>0</v>
      </c>
      <c r="M3">
        <f t="shared" si="3"/>
        <v>3</v>
      </c>
      <c r="N3">
        <f t="shared" si="3"/>
        <v>2</v>
      </c>
      <c r="O3">
        <f t="shared" si="3"/>
        <v>-1</v>
      </c>
      <c r="P3">
        <f t="shared" si="3"/>
        <v>-1</v>
      </c>
      <c r="AT3" s="1"/>
    </row>
    <row r="4" spans="1:54">
      <c r="A4">
        <v>1</v>
      </c>
      <c r="B4">
        <v>1</v>
      </c>
      <c r="C4" t="s">
        <v>0</v>
      </c>
      <c r="D4">
        <f t="shared" si="4"/>
        <v>1</v>
      </c>
      <c r="E4">
        <f t="shared" si="4"/>
        <v>1</v>
      </c>
      <c r="F4" t="str">
        <f t="shared" si="5"/>
        <v/>
      </c>
      <c r="G4" t="str">
        <f t="shared" si="5"/>
        <v/>
      </c>
      <c r="H4">
        <f t="shared" si="0"/>
        <v>1.7888543819998319</v>
      </c>
      <c r="I4">
        <f t="shared" si="1"/>
        <v>4.2573465914816007</v>
      </c>
      <c r="J4" t="str">
        <f t="shared" si="6"/>
        <v>A</v>
      </c>
      <c r="K4">
        <f t="shared" si="2"/>
        <v>0</v>
      </c>
      <c r="M4">
        <f t="shared" si="3"/>
        <v>1</v>
      </c>
      <c r="N4">
        <f t="shared" si="3"/>
        <v>1</v>
      </c>
      <c r="O4">
        <f t="shared" si="3"/>
        <v>-1</v>
      </c>
      <c r="P4">
        <f t="shared" si="3"/>
        <v>-1</v>
      </c>
      <c r="AT4" s="1"/>
    </row>
    <row r="5" spans="1:54">
      <c r="A5">
        <v>2</v>
      </c>
      <c r="B5">
        <v>1</v>
      </c>
      <c r="C5" t="s">
        <v>0</v>
      </c>
      <c r="D5">
        <f t="shared" si="4"/>
        <v>2</v>
      </c>
      <c r="E5">
        <f t="shared" si="4"/>
        <v>1</v>
      </c>
      <c r="F5" t="str">
        <f t="shared" si="5"/>
        <v/>
      </c>
      <c r="G5" t="str">
        <f t="shared" si="5"/>
        <v/>
      </c>
      <c r="H5">
        <f t="shared" si="0"/>
        <v>1</v>
      </c>
      <c r="I5">
        <f t="shared" si="1"/>
        <v>3.6912057650583501</v>
      </c>
      <c r="J5" t="str">
        <f t="shared" si="6"/>
        <v>A</v>
      </c>
      <c r="K5">
        <f t="shared" si="2"/>
        <v>0</v>
      </c>
      <c r="M5">
        <f t="shared" si="3"/>
        <v>2</v>
      </c>
      <c r="N5">
        <f t="shared" si="3"/>
        <v>1</v>
      </c>
      <c r="O5">
        <f t="shared" si="3"/>
        <v>-1</v>
      </c>
      <c r="P5">
        <f t="shared" si="3"/>
        <v>-1</v>
      </c>
      <c r="AT5" s="1"/>
    </row>
    <row r="6" spans="1:54">
      <c r="A6">
        <v>2</v>
      </c>
      <c r="B6">
        <v>3</v>
      </c>
      <c r="C6" t="s">
        <v>0</v>
      </c>
      <c r="D6">
        <f t="shared" si="4"/>
        <v>2</v>
      </c>
      <c r="E6">
        <f t="shared" si="4"/>
        <v>3</v>
      </c>
      <c r="F6" t="str">
        <f t="shared" si="5"/>
        <v/>
      </c>
      <c r="G6" t="str">
        <f t="shared" si="5"/>
        <v/>
      </c>
      <c r="H6">
        <f t="shared" si="0"/>
        <v>1.3416407864998738</v>
      </c>
      <c r="I6">
        <f t="shared" si="1"/>
        <v>2.1505813167606567</v>
      </c>
      <c r="J6" t="str">
        <f t="shared" si="6"/>
        <v>A</v>
      </c>
      <c r="K6">
        <f t="shared" si="2"/>
        <v>0</v>
      </c>
      <c r="M6">
        <f t="shared" si="3"/>
        <v>2</v>
      </c>
      <c r="N6">
        <f t="shared" si="3"/>
        <v>3</v>
      </c>
      <c r="O6">
        <f t="shared" si="3"/>
        <v>-1</v>
      </c>
      <c r="P6">
        <f t="shared" si="3"/>
        <v>-1</v>
      </c>
      <c r="AT6" s="1"/>
    </row>
    <row r="7" spans="1:54">
      <c r="A7">
        <v>1</v>
      </c>
      <c r="B7">
        <v>4</v>
      </c>
      <c r="C7" t="s">
        <v>1</v>
      </c>
      <c r="D7" t="str">
        <f t="shared" si="4"/>
        <v/>
      </c>
      <c r="E7" t="str">
        <f t="shared" si="4"/>
        <v/>
      </c>
      <c r="F7">
        <f t="shared" si="5"/>
        <v>1</v>
      </c>
      <c r="G7">
        <f t="shared" si="5"/>
        <v>4</v>
      </c>
      <c r="H7">
        <f t="shared" si="0"/>
        <v>2.720294101747089</v>
      </c>
      <c r="I7">
        <f t="shared" si="1"/>
        <v>2.7613402542968153</v>
      </c>
      <c r="J7" t="str">
        <f t="shared" si="6"/>
        <v>A</v>
      </c>
      <c r="K7">
        <f t="shared" si="2"/>
        <v>1</v>
      </c>
      <c r="M7">
        <f t="shared" si="3"/>
        <v>-1</v>
      </c>
      <c r="N7">
        <f t="shared" si="3"/>
        <v>-1</v>
      </c>
      <c r="O7">
        <f t="shared" si="3"/>
        <v>1</v>
      </c>
      <c r="P7">
        <f t="shared" si="3"/>
        <v>4</v>
      </c>
      <c r="AT7" s="1"/>
    </row>
    <row r="8" spans="1:54">
      <c r="A8">
        <v>4</v>
      </c>
      <c r="B8">
        <v>4</v>
      </c>
      <c r="C8" t="s">
        <v>1</v>
      </c>
      <c r="D8" t="str">
        <f t="shared" si="4"/>
        <v/>
      </c>
      <c r="E8" t="str">
        <f t="shared" si="4"/>
        <v/>
      </c>
      <c r="F8">
        <f t="shared" si="5"/>
        <v>4</v>
      </c>
      <c r="G8">
        <f t="shared" si="5"/>
        <v>4</v>
      </c>
      <c r="H8">
        <f t="shared" si="0"/>
        <v>2.6076809620810595</v>
      </c>
      <c r="I8">
        <f t="shared" si="1"/>
        <v>0.35355339059327379</v>
      </c>
      <c r="J8" t="str">
        <f t="shared" si="6"/>
        <v>B</v>
      </c>
      <c r="K8">
        <f t="shared" si="2"/>
        <v>0</v>
      </c>
      <c r="M8">
        <f t="shared" si="3"/>
        <v>-1</v>
      </c>
      <c r="N8">
        <f t="shared" si="3"/>
        <v>-1</v>
      </c>
      <c r="O8">
        <f t="shared" si="3"/>
        <v>4</v>
      </c>
      <c r="P8">
        <f t="shared" si="3"/>
        <v>4</v>
      </c>
      <c r="AT8" s="1"/>
    </row>
    <row r="9" spans="1:54">
      <c r="A9">
        <v>5</v>
      </c>
      <c r="B9">
        <v>5</v>
      </c>
      <c r="C9" t="s">
        <v>1</v>
      </c>
      <c r="D9" t="str">
        <f t="shared" si="4"/>
        <v/>
      </c>
      <c r="E9" t="str">
        <f t="shared" si="4"/>
        <v/>
      </c>
      <c r="F9">
        <f t="shared" si="5"/>
        <v>5</v>
      </c>
      <c r="G9">
        <f t="shared" si="5"/>
        <v>5</v>
      </c>
      <c r="H9">
        <f t="shared" si="0"/>
        <v>4</v>
      </c>
      <c r="I9">
        <f t="shared" si="1"/>
        <v>1.4577379737113252</v>
      </c>
      <c r="J9" t="str">
        <f t="shared" si="6"/>
        <v>B</v>
      </c>
      <c r="K9">
        <f t="shared" si="2"/>
        <v>0</v>
      </c>
      <c r="M9">
        <f t="shared" si="3"/>
        <v>-1</v>
      </c>
      <c r="N9">
        <f t="shared" si="3"/>
        <v>-1</v>
      </c>
      <c r="O9">
        <f t="shared" si="3"/>
        <v>5</v>
      </c>
      <c r="P9">
        <f t="shared" si="3"/>
        <v>5</v>
      </c>
      <c r="AT9" s="1"/>
    </row>
    <row r="10" spans="1:54">
      <c r="A10">
        <v>5</v>
      </c>
      <c r="B10">
        <v>4</v>
      </c>
      <c r="C10" t="s">
        <v>1</v>
      </c>
      <c r="D10" t="str">
        <f t="shared" si="4"/>
        <v/>
      </c>
      <c r="E10" t="str">
        <f t="shared" si="4"/>
        <v/>
      </c>
      <c r="F10">
        <f t="shared" si="5"/>
        <v>5</v>
      </c>
      <c r="G10">
        <f t="shared" si="5"/>
        <v>4</v>
      </c>
      <c r="H10">
        <f t="shared" si="0"/>
        <v>3.2557641192199416</v>
      </c>
      <c r="I10">
        <f t="shared" si="1"/>
        <v>1.2747548783981961</v>
      </c>
      <c r="J10" t="str">
        <f t="shared" si="6"/>
        <v>B</v>
      </c>
      <c r="K10">
        <f t="shared" si="2"/>
        <v>0</v>
      </c>
      <c r="M10">
        <f t="shared" si="3"/>
        <v>-1</v>
      </c>
      <c r="N10">
        <f t="shared" si="3"/>
        <v>-1</v>
      </c>
      <c r="O10">
        <f t="shared" si="3"/>
        <v>5</v>
      </c>
      <c r="P10">
        <f t="shared" si="3"/>
        <v>4</v>
      </c>
      <c r="AT10" s="1"/>
    </row>
    <row r="11" spans="1:54">
      <c r="C11" t="s">
        <v>12</v>
      </c>
      <c r="D11">
        <f>AVERAGE(D2:D10)</f>
        <v>2.6</v>
      </c>
      <c r="E11">
        <f>AVERAGE(E2:E10)</f>
        <v>1.8</v>
      </c>
      <c r="F11">
        <f>AVERAGE(F2:F10)</f>
        <v>3.75</v>
      </c>
      <c r="G11">
        <f>AVERAGE(G2:G10)</f>
        <v>4.25</v>
      </c>
      <c r="K11">
        <f>SUM(K2:K10)</f>
        <v>1</v>
      </c>
      <c r="AT11" s="1"/>
    </row>
    <row r="12" spans="1:54">
      <c r="AT12" s="1"/>
    </row>
    <row r="13" spans="1:54">
      <c r="AT13" s="1"/>
      <c r="BB13" t="s">
        <v>2</v>
      </c>
    </row>
    <row r="14" spans="1:54">
      <c r="A14">
        <f>A2</f>
        <v>5</v>
      </c>
      <c r="B14">
        <f>B2</f>
        <v>2</v>
      </c>
      <c r="C14" t="str">
        <f>J2</f>
        <v>A</v>
      </c>
      <c r="D14">
        <f>IF($C14="A",A14,"")</f>
        <v>5</v>
      </c>
      <c r="E14">
        <f>IF($C14="A",B14,"")</f>
        <v>2</v>
      </c>
      <c r="F14" t="str">
        <f>IF($C14="B",A14,"")</f>
        <v/>
      </c>
      <c r="G14" t="str">
        <f>IF($C14="B",B14,"")</f>
        <v/>
      </c>
      <c r="H14">
        <f t="shared" ref="H14:H22" si="7">SQRT((A14-D$23)^2+(B14-E$23)^2)</f>
        <v>2.6718699236468995</v>
      </c>
      <c r="I14">
        <f t="shared" ref="I14:I22" si="8">SQRT((A14-F$23)^2+(B14-G$23)^2)</f>
        <v>2.3570226039551581</v>
      </c>
      <c r="J14" t="str">
        <f>IF(H14&lt;I14,"A","B")</f>
        <v>B</v>
      </c>
      <c r="K14">
        <f t="shared" ref="K14:K22" si="9">IF(C14=J14,0,1)</f>
        <v>1</v>
      </c>
      <c r="M14">
        <f t="shared" ref="M14:P22" si="10">IF(D14&lt;&gt;"",D14,-1)</f>
        <v>5</v>
      </c>
      <c r="N14">
        <f t="shared" si="10"/>
        <v>2</v>
      </c>
      <c r="O14">
        <f t="shared" si="10"/>
        <v>-1</v>
      </c>
      <c r="P14">
        <f t="shared" si="10"/>
        <v>-1</v>
      </c>
      <c r="AT14" s="1"/>
    </row>
    <row r="15" spans="1:54">
      <c r="A15">
        <f t="shared" ref="A15:B22" si="11">A3</f>
        <v>3</v>
      </c>
      <c r="B15">
        <f t="shared" si="11"/>
        <v>2</v>
      </c>
      <c r="C15" t="str">
        <f t="shared" ref="C15:C22" si="12">J3</f>
        <v>A</v>
      </c>
      <c r="D15">
        <f t="shared" ref="D15:E22" si="13">IF($C15="A",A15,"")</f>
        <v>3</v>
      </c>
      <c r="E15">
        <f t="shared" si="13"/>
        <v>2</v>
      </c>
      <c r="F15" t="str">
        <f t="shared" ref="F15:G22" si="14">IF($C15="B",A15,"")</f>
        <v/>
      </c>
      <c r="G15" t="str">
        <f t="shared" si="14"/>
        <v/>
      </c>
      <c r="H15">
        <f t="shared" si="7"/>
        <v>0.68718427093627654</v>
      </c>
      <c r="I15">
        <f t="shared" si="8"/>
        <v>2.8674417556808756</v>
      </c>
      <c r="J15" t="str">
        <f t="shared" ref="J15:J22" si="15">IF(H15&lt;I15,"A","B")</f>
        <v>A</v>
      </c>
      <c r="K15">
        <f t="shared" si="9"/>
        <v>0</v>
      </c>
      <c r="M15">
        <f t="shared" si="10"/>
        <v>3</v>
      </c>
      <c r="N15">
        <f t="shared" si="10"/>
        <v>2</v>
      </c>
      <c r="O15">
        <f t="shared" si="10"/>
        <v>-1</v>
      </c>
      <c r="P15">
        <f t="shared" si="10"/>
        <v>-1</v>
      </c>
      <c r="AT15" s="1"/>
    </row>
    <row r="16" spans="1:54">
      <c r="A16">
        <f t="shared" si="11"/>
        <v>1</v>
      </c>
      <c r="B16">
        <f t="shared" si="11"/>
        <v>1</v>
      </c>
      <c r="C16" t="str">
        <f t="shared" si="12"/>
        <v>A</v>
      </c>
      <c r="D16">
        <f t="shared" si="13"/>
        <v>1</v>
      </c>
      <c r="E16">
        <f t="shared" si="13"/>
        <v>1</v>
      </c>
      <c r="F16" t="str">
        <f t="shared" si="14"/>
        <v/>
      </c>
      <c r="G16" t="str">
        <f t="shared" si="14"/>
        <v/>
      </c>
      <c r="H16">
        <f t="shared" si="7"/>
        <v>1.7716909687891083</v>
      </c>
      <c r="I16">
        <f t="shared" si="8"/>
        <v>4.9553562491061687</v>
      </c>
      <c r="J16" t="str">
        <f t="shared" si="15"/>
        <v>A</v>
      </c>
      <c r="K16">
        <f t="shared" si="9"/>
        <v>0</v>
      </c>
      <c r="M16">
        <f t="shared" si="10"/>
        <v>1</v>
      </c>
      <c r="N16">
        <f t="shared" si="10"/>
        <v>1</v>
      </c>
      <c r="O16">
        <f t="shared" si="10"/>
        <v>-1</v>
      </c>
      <c r="P16">
        <f t="shared" si="10"/>
        <v>-1</v>
      </c>
      <c r="AT16" s="1"/>
    </row>
    <row r="17" spans="1:66">
      <c r="A17">
        <f t="shared" si="11"/>
        <v>2</v>
      </c>
      <c r="B17">
        <f t="shared" si="11"/>
        <v>1</v>
      </c>
      <c r="C17" t="str">
        <f t="shared" si="12"/>
        <v>A</v>
      </c>
      <c r="D17">
        <f t="shared" si="13"/>
        <v>2</v>
      </c>
      <c r="E17">
        <f t="shared" si="13"/>
        <v>1</v>
      </c>
      <c r="F17" t="str">
        <f t="shared" si="14"/>
        <v/>
      </c>
      <c r="G17" t="str">
        <f t="shared" si="14"/>
        <v/>
      </c>
      <c r="H17">
        <f t="shared" si="7"/>
        <v>1.2133516482134197</v>
      </c>
      <c r="I17">
        <f t="shared" si="8"/>
        <v>4.2687494916218993</v>
      </c>
      <c r="J17" t="str">
        <f t="shared" si="15"/>
        <v>A</v>
      </c>
      <c r="K17">
        <f t="shared" si="9"/>
        <v>0</v>
      </c>
      <c r="M17">
        <f t="shared" si="10"/>
        <v>2</v>
      </c>
      <c r="N17">
        <f t="shared" si="10"/>
        <v>1</v>
      </c>
      <c r="O17">
        <f t="shared" si="10"/>
        <v>-1</v>
      </c>
      <c r="P17">
        <f t="shared" si="10"/>
        <v>-1</v>
      </c>
      <c r="AT17" s="1"/>
    </row>
    <row r="18" spans="1:66">
      <c r="A18">
        <f t="shared" si="11"/>
        <v>2</v>
      </c>
      <c r="B18">
        <f t="shared" si="11"/>
        <v>3</v>
      </c>
      <c r="C18" t="str">
        <f t="shared" si="12"/>
        <v>A</v>
      </c>
      <c r="D18">
        <f t="shared" si="13"/>
        <v>2</v>
      </c>
      <c r="E18">
        <f t="shared" si="13"/>
        <v>3</v>
      </c>
      <c r="F18" t="str">
        <f t="shared" si="14"/>
        <v/>
      </c>
      <c r="G18" t="str">
        <f t="shared" si="14"/>
        <v/>
      </c>
      <c r="H18">
        <f t="shared" si="7"/>
        <v>0.89752746785575077</v>
      </c>
      <c r="I18">
        <f t="shared" si="8"/>
        <v>2.9814239699997196</v>
      </c>
      <c r="J18" t="str">
        <f t="shared" si="15"/>
        <v>A</v>
      </c>
      <c r="K18">
        <f t="shared" si="9"/>
        <v>0</v>
      </c>
      <c r="M18">
        <f t="shared" si="10"/>
        <v>2</v>
      </c>
      <c r="N18">
        <f t="shared" si="10"/>
        <v>3</v>
      </c>
      <c r="O18">
        <f t="shared" si="10"/>
        <v>-1</v>
      </c>
      <c r="P18">
        <f t="shared" si="10"/>
        <v>-1</v>
      </c>
    </row>
    <row r="19" spans="1:66">
      <c r="A19">
        <f t="shared" si="11"/>
        <v>1</v>
      </c>
      <c r="B19">
        <f t="shared" si="11"/>
        <v>4</v>
      </c>
      <c r="C19" t="str">
        <f t="shared" si="12"/>
        <v>A</v>
      </c>
      <c r="D19">
        <f t="shared" si="13"/>
        <v>1</v>
      </c>
      <c r="E19">
        <f t="shared" si="13"/>
        <v>4</v>
      </c>
      <c r="F19" t="str">
        <f t="shared" si="14"/>
        <v/>
      </c>
      <c r="G19" t="str">
        <f t="shared" si="14"/>
        <v/>
      </c>
      <c r="H19">
        <f t="shared" si="7"/>
        <v>2.2669117514559072</v>
      </c>
      <c r="I19">
        <f t="shared" si="8"/>
        <v>3.6817870057290873</v>
      </c>
      <c r="J19" t="str">
        <f t="shared" si="15"/>
        <v>A</v>
      </c>
      <c r="K19">
        <f t="shared" si="9"/>
        <v>0</v>
      </c>
      <c r="M19">
        <f t="shared" si="10"/>
        <v>1</v>
      </c>
      <c r="N19">
        <f t="shared" si="10"/>
        <v>4</v>
      </c>
      <c r="O19">
        <f t="shared" si="10"/>
        <v>-1</v>
      </c>
      <c r="P19">
        <f t="shared" si="10"/>
        <v>-1</v>
      </c>
    </row>
    <row r="20" spans="1:66">
      <c r="A20">
        <f t="shared" si="11"/>
        <v>4</v>
      </c>
      <c r="B20">
        <f t="shared" si="11"/>
        <v>4</v>
      </c>
      <c r="C20" t="str">
        <f t="shared" si="12"/>
        <v>B</v>
      </c>
      <c r="D20" t="str">
        <f t="shared" si="13"/>
        <v/>
      </c>
      <c r="E20" t="str">
        <f t="shared" si="13"/>
        <v/>
      </c>
      <c r="F20">
        <f t="shared" si="14"/>
        <v>4</v>
      </c>
      <c r="G20">
        <f t="shared" si="14"/>
        <v>4</v>
      </c>
      <c r="H20">
        <f t="shared" si="7"/>
        <v>2.4776781245530843</v>
      </c>
      <c r="I20">
        <f t="shared" si="8"/>
        <v>0.74535599249993001</v>
      </c>
      <c r="J20" t="str">
        <f t="shared" si="15"/>
        <v>B</v>
      </c>
      <c r="K20">
        <f t="shared" si="9"/>
        <v>0</v>
      </c>
      <c r="M20">
        <f t="shared" si="10"/>
        <v>-1</v>
      </c>
      <c r="N20">
        <f t="shared" si="10"/>
        <v>-1</v>
      </c>
      <c r="O20">
        <f t="shared" si="10"/>
        <v>4</v>
      </c>
      <c r="P20">
        <f t="shared" si="10"/>
        <v>4</v>
      </c>
    </row>
    <row r="21" spans="1:66">
      <c r="A21">
        <f t="shared" si="11"/>
        <v>5</v>
      </c>
      <c r="B21">
        <f t="shared" si="11"/>
        <v>5</v>
      </c>
      <c r="C21" t="str">
        <f t="shared" si="12"/>
        <v>B</v>
      </c>
      <c r="D21" t="str">
        <f t="shared" si="13"/>
        <v/>
      </c>
      <c r="E21" t="str">
        <f t="shared" si="13"/>
        <v/>
      </c>
      <c r="F21">
        <f t="shared" si="14"/>
        <v>5</v>
      </c>
      <c r="G21">
        <f t="shared" si="14"/>
        <v>5</v>
      </c>
      <c r="H21">
        <f t="shared" si="7"/>
        <v>3.8908725099762509</v>
      </c>
      <c r="I21">
        <f t="shared" si="8"/>
        <v>0.74535599249993001</v>
      </c>
      <c r="J21" t="str">
        <f t="shared" si="15"/>
        <v>B</v>
      </c>
      <c r="K21">
        <f t="shared" si="9"/>
        <v>0</v>
      </c>
      <c r="M21">
        <f t="shared" si="10"/>
        <v>-1</v>
      </c>
      <c r="N21">
        <f t="shared" si="10"/>
        <v>-1</v>
      </c>
      <c r="O21">
        <f t="shared" si="10"/>
        <v>5</v>
      </c>
      <c r="P21">
        <f t="shared" si="10"/>
        <v>5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>
      <c r="A22">
        <f t="shared" si="11"/>
        <v>5</v>
      </c>
      <c r="B22">
        <f t="shared" si="11"/>
        <v>4</v>
      </c>
      <c r="C22" t="str">
        <f t="shared" si="12"/>
        <v>B</v>
      </c>
      <c r="D22" t="str">
        <f t="shared" si="13"/>
        <v/>
      </c>
      <c r="E22" t="str">
        <f t="shared" si="13"/>
        <v/>
      </c>
      <c r="F22">
        <f t="shared" si="14"/>
        <v>5</v>
      </c>
      <c r="G22">
        <f t="shared" si="14"/>
        <v>4</v>
      </c>
      <c r="H22">
        <f t="shared" si="7"/>
        <v>3.2360813064912666</v>
      </c>
      <c r="I22">
        <f t="shared" si="8"/>
        <v>0.47140452079103123</v>
      </c>
      <c r="J22" t="str">
        <f t="shared" si="15"/>
        <v>B</v>
      </c>
      <c r="K22">
        <f t="shared" si="9"/>
        <v>0</v>
      </c>
      <c r="M22">
        <f t="shared" si="10"/>
        <v>-1</v>
      </c>
      <c r="N22">
        <f t="shared" si="10"/>
        <v>-1</v>
      </c>
      <c r="O22">
        <f t="shared" si="10"/>
        <v>5</v>
      </c>
      <c r="P22">
        <f t="shared" si="10"/>
        <v>4</v>
      </c>
    </row>
    <row r="23" spans="1:66">
      <c r="C23" t="s">
        <v>12</v>
      </c>
      <c r="D23">
        <f>AVERAGE(D14:D22)</f>
        <v>2.3333333333333335</v>
      </c>
      <c r="E23">
        <f>AVERAGE(E14:E22)</f>
        <v>2.1666666666666665</v>
      </c>
      <c r="F23">
        <f>AVERAGE(F14:F22)</f>
        <v>4.666666666666667</v>
      </c>
      <c r="G23">
        <f>AVERAGE(G14:G22)</f>
        <v>4.333333333333333</v>
      </c>
      <c r="K23">
        <f>SUM(K14:K22)</f>
        <v>1</v>
      </c>
      <c r="AT23" s="1"/>
    </row>
    <row r="24" spans="1:66">
      <c r="AT24" s="1"/>
    </row>
    <row r="25" spans="1:66">
      <c r="AT25" s="1"/>
    </row>
    <row r="26" spans="1:66">
      <c r="A26">
        <f>A14</f>
        <v>5</v>
      </c>
      <c r="B26">
        <f>B14</f>
        <v>2</v>
      </c>
      <c r="C26" t="str">
        <f>J14</f>
        <v>B</v>
      </c>
      <c r="D26" t="str">
        <f>IF($C26="A",A26,"")</f>
        <v/>
      </c>
      <c r="E26" t="str">
        <f>IF($C26="A",B26,"")</f>
        <v/>
      </c>
      <c r="F26">
        <f>IF($C26="B",A26,"")</f>
        <v>5</v>
      </c>
      <c r="G26">
        <f>IF($C26="B",B26,"")</f>
        <v>2</v>
      </c>
      <c r="H26">
        <f t="shared" ref="H26:H34" si="16">SQRT((A26-D$35)^2+(B26-E$35)^2)</f>
        <v>3.2062439083762797</v>
      </c>
      <c r="I26">
        <f t="shared" ref="I26:I34" si="17">SQRT((A26-F$35)^2+(B26-G$35)^2)</f>
        <v>1.7677669529663689</v>
      </c>
      <c r="J26" t="str">
        <f>IF(H26&lt;I26,"A","B")</f>
        <v>B</v>
      </c>
      <c r="K26">
        <f t="shared" ref="K26:K34" si="18">IF(C26=J26,0,1)</f>
        <v>0</v>
      </c>
      <c r="M26">
        <f>IF(D26&lt;&gt;"",D26,-1)</f>
        <v>-1</v>
      </c>
      <c r="N26">
        <f>IF(E26&lt;&gt;"",E26,-1)</f>
        <v>-1</v>
      </c>
      <c r="O26">
        <f>IF(F26&lt;&gt;"",F26,-1)</f>
        <v>5</v>
      </c>
      <c r="P26">
        <f>IF(G26&lt;&gt;"",G26,-1)</f>
        <v>2</v>
      </c>
      <c r="AT26" s="1"/>
    </row>
    <row r="27" spans="1:66">
      <c r="A27">
        <f t="shared" ref="A27:B34" si="19">A15</f>
        <v>3</v>
      </c>
      <c r="B27">
        <f t="shared" si="19"/>
        <v>2</v>
      </c>
      <c r="C27" t="str">
        <f t="shared" ref="C27:C34" si="20">J15</f>
        <v>A</v>
      </c>
      <c r="D27">
        <f t="shared" ref="D27:E34" si="21">IF($C27="A",A27,"")</f>
        <v>3</v>
      </c>
      <c r="E27">
        <f t="shared" si="21"/>
        <v>2</v>
      </c>
      <c r="F27" t="str">
        <f t="shared" ref="F27:G34" si="22">IF($C27="B",A27,"")</f>
        <v/>
      </c>
      <c r="G27" t="str">
        <f t="shared" si="22"/>
        <v/>
      </c>
      <c r="H27">
        <f t="shared" si="16"/>
        <v>1.2165525060596438</v>
      </c>
      <c r="I27">
        <f t="shared" si="17"/>
        <v>2.4748737341529163</v>
      </c>
      <c r="J27" t="str">
        <f t="shared" ref="J27:J34" si="23">IF(H27&lt;I27,"A","B")</f>
        <v>A</v>
      </c>
      <c r="K27">
        <f t="shared" si="18"/>
        <v>0</v>
      </c>
      <c r="M27">
        <f t="shared" ref="M27:P34" si="24">IF(D27&lt;&gt;"",D27,-1)</f>
        <v>3</v>
      </c>
      <c r="N27">
        <f t="shared" si="24"/>
        <v>2</v>
      </c>
      <c r="O27">
        <f t="shared" si="24"/>
        <v>-1</v>
      </c>
      <c r="P27">
        <f t="shared" si="24"/>
        <v>-1</v>
      </c>
      <c r="AT27" s="1"/>
    </row>
    <row r="28" spans="1:66">
      <c r="A28">
        <f t="shared" si="19"/>
        <v>1</v>
      </c>
      <c r="B28">
        <f t="shared" si="19"/>
        <v>1</v>
      </c>
      <c r="C28" t="str">
        <f t="shared" si="20"/>
        <v>A</v>
      </c>
      <c r="D28">
        <f t="shared" si="21"/>
        <v>1</v>
      </c>
      <c r="E28">
        <f t="shared" si="21"/>
        <v>1</v>
      </c>
      <c r="F28" t="str">
        <f t="shared" si="22"/>
        <v/>
      </c>
      <c r="G28" t="str">
        <f t="shared" si="22"/>
        <v/>
      </c>
      <c r="H28">
        <f t="shared" si="16"/>
        <v>1.4422205101855958</v>
      </c>
      <c r="I28">
        <f t="shared" si="17"/>
        <v>4.6502688094345688</v>
      </c>
      <c r="J28" t="str">
        <f t="shared" si="23"/>
        <v>A</v>
      </c>
      <c r="K28">
        <f t="shared" si="18"/>
        <v>0</v>
      </c>
      <c r="M28">
        <f t="shared" si="24"/>
        <v>1</v>
      </c>
      <c r="N28">
        <f t="shared" si="24"/>
        <v>1</v>
      </c>
      <c r="O28">
        <f t="shared" si="24"/>
        <v>-1</v>
      </c>
      <c r="P28">
        <f t="shared" si="24"/>
        <v>-1</v>
      </c>
      <c r="AT28" s="1"/>
    </row>
    <row r="29" spans="1:66">
      <c r="A29">
        <f t="shared" si="19"/>
        <v>2</v>
      </c>
      <c r="B29">
        <f t="shared" si="19"/>
        <v>1</v>
      </c>
      <c r="C29" t="str">
        <f t="shared" si="20"/>
        <v>A</v>
      </c>
      <c r="D29">
        <f t="shared" si="21"/>
        <v>2</v>
      </c>
      <c r="E29">
        <f t="shared" si="21"/>
        <v>1</v>
      </c>
      <c r="F29" t="str">
        <f t="shared" si="22"/>
        <v/>
      </c>
      <c r="G29" t="str">
        <f t="shared" si="22"/>
        <v/>
      </c>
      <c r="H29">
        <f t="shared" si="16"/>
        <v>1.216552506059644</v>
      </c>
      <c r="I29">
        <f t="shared" si="17"/>
        <v>3.8890872965260113</v>
      </c>
      <c r="J29" t="str">
        <f t="shared" si="23"/>
        <v>A</v>
      </c>
      <c r="K29">
        <f t="shared" si="18"/>
        <v>0</v>
      </c>
      <c r="M29">
        <f t="shared" si="24"/>
        <v>2</v>
      </c>
      <c r="N29">
        <f t="shared" si="24"/>
        <v>1</v>
      </c>
      <c r="O29">
        <f t="shared" si="24"/>
        <v>-1</v>
      </c>
      <c r="P29">
        <f t="shared" si="24"/>
        <v>-1</v>
      </c>
      <c r="AT29" s="1"/>
    </row>
    <row r="30" spans="1:66">
      <c r="A30">
        <f t="shared" si="19"/>
        <v>2</v>
      </c>
      <c r="B30">
        <f t="shared" si="19"/>
        <v>3</v>
      </c>
      <c r="C30" t="str">
        <f t="shared" si="20"/>
        <v>A</v>
      </c>
      <c r="D30">
        <f t="shared" si="21"/>
        <v>2</v>
      </c>
      <c r="E30">
        <f t="shared" si="21"/>
        <v>3</v>
      </c>
      <c r="F30" t="str">
        <f t="shared" si="22"/>
        <v/>
      </c>
      <c r="G30" t="str">
        <f t="shared" si="22"/>
        <v/>
      </c>
      <c r="H30">
        <f t="shared" si="16"/>
        <v>0.82462112512353192</v>
      </c>
      <c r="I30">
        <f t="shared" si="17"/>
        <v>2.8504385627478448</v>
      </c>
      <c r="J30" t="str">
        <f t="shared" si="23"/>
        <v>A</v>
      </c>
      <c r="K30">
        <f t="shared" si="18"/>
        <v>0</v>
      </c>
      <c r="M30">
        <f t="shared" si="24"/>
        <v>2</v>
      </c>
      <c r="N30">
        <f t="shared" si="24"/>
        <v>3</v>
      </c>
      <c r="O30">
        <f t="shared" si="24"/>
        <v>-1</v>
      </c>
      <c r="P30">
        <f t="shared" si="24"/>
        <v>-1</v>
      </c>
      <c r="AT30" s="1"/>
    </row>
    <row r="31" spans="1:66">
      <c r="A31">
        <f t="shared" si="19"/>
        <v>1</v>
      </c>
      <c r="B31">
        <f t="shared" si="19"/>
        <v>4</v>
      </c>
      <c r="C31" t="str">
        <f t="shared" si="20"/>
        <v>A</v>
      </c>
      <c r="D31">
        <f t="shared" si="21"/>
        <v>1</v>
      </c>
      <c r="E31">
        <f t="shared" si="21"/>
        <v>4</v>
      </c>
      <c r="F31" t="str">
        <f t="shared" si="22"/>
        <v/>
      </c>
      <c r="G31" t="str">
        <f t="shared" si="22"/>
        <v/>
      </c>
      <c r="H31">
        <f t="shared" si="16"/>
        <v>1.9697715603592207</v>
      </c>
      <c r="I31">
        <f t="shared" si="17"/>
        <v>3.758324094593227</v>
      </c>
      <c r="J31" t="str">
        <f t="shared" si="23"/>
        <v>A</v>
      </c>
      <c r="K31">
        <f t="shared" si="18"/>
        <v>0</v>
      </c>
      <c r="M31">
        <f t="shared" si="24"/>
        <v>1</v>
      </c>
      <c r="N31">
        <f t="shared" si="24"/>
        <v>4</v>
      </c>
      <c r="O31">
        <f t="shared" si="24"/>
        <v>-1</v>
      </c>
      <c r="P31">
        <f t="shared" si="24"/>
        <v>-1</v>
      </c>
      <c r="AT31" s="1"/>
    </row>
    <row r="32" spans="1:66">
      <c r="A32">
        <f t="shared" si="19"/>
        <v>4</v>
      </c>
      <c r="B32">
        <f t="shared" si="19"/>
        <v>4</v>
      </c>
      <c r="C32" t="str">
        <f t="shared" si="20"/>
        <v>B</v>
      </c>
      <c r="D32" t="str">
        <f t="shared" si="21"/>
        <v/>
      </c>
      <c r="E32" t="str">
        <f t="shared" si="21"/>
        <v/>
      </c>
      <c r="F32">
        <f t="shared" si="22"/>
        <v>4</v>
      </c>
      <c r="G32">
        <f t="shared" si="22"/>
        <v>4</v>
      </c>
      <c r="H32">
        <f t="shared" si="16"/>
        <v>2.8425340807103789</v>
      </c>
      <c r="I32">
        <f t="shared" si="17"/>
        <v>0.79056941504209488</v>
      </c>
      <c r="J32" t="str">
        <f t="shared" si="23"/>
        <v>B</v>
      </c>
      <c r="K32">
        <f t="shared" si="18"/>
        <v>0</v>
      </c>
      <c r="M32">
        <f t="shared" si="24"/>
        <v>-1</v>
      </c>
      <c r="N32">
        <f t="shared" si="24"/>
        <v>-1</v>
      </c>
      <c r="O32">
        <f t="shared" si="24"/>
        <v>4</v>
      </c>
      <c r="P32">
        <f t="shared" si="24"/>
        <v>4</v>
      </c>
      <c r="AT32" s="1"/>
    </row>
    <row r="33" spans="1:46">
      <c r="A33">
        <f t="shared" si="19"/>
        <v>5</v>
      </c>
      <c r="B33">
        <f t="shared" si="19"/>
        <v>5</v>
      </c>
      <c r="C33" t="str">
        <f t="shared" si="20"/>
        <v>B</v>
      </c>
      <c r="D33" t="str">
        <f t="shared" si="21"/>
        <v/>
      </c>
      <c r="E33" t="str">
        <f t="shared" si="21"/>
        <v/>
      </c>
      <c r="F33">
        <f t="shared" si="22"/>
        <v>5</v>
      </c>
      <c r="G33">
        <f t="shared" si="22"/>
        <v>5</v>
      </c>
      <c r="H33">
        <f t="shared" si="16"/>
        <v>4.2520583250938602</v>
      </c>
      <c r="I33">
        <f t="shared" si="17"/>
        <v>1.2747548783981961</v>
      </c>
      <c r="J33" t="str">
        <f t="shared" si="23"/>
        <v>B</v>
      </c>
      <c r="K33">
        <f t="shared" si="18"/>
        <v>0</v>
      </c>
      <c r="M33">
        <f t="shared" si="24"/>
        <v>-1</v>
      </c>
      <c r="N33">
        <f t="shared" si="24"/>
        <v>-1</v>
      </c>
      <c r="O33">
        <f t="shared" si="24"/>
        <v>5</v>
      </c>
      <c r="P33">
        <f t="shared" si="24"/>
        <v>5</v>
      </c>
      <c r="AT33" s="1"/>
    </row>
    <row r="34" spans="1:46">
      <c r="A34">
        <f t="shared" si="19"/>
        <v>5</v>
      </c>
      <c r="B34">
        <f t="shared" si="19"/>
        <v>4</v>
      </c>
      <c r="C34" t="str">
        <f t="shared" si="20"/>
        <v>B</v>
      </c>
      <c r="D34" t="str">
        <f t="shared" si="21"/>
        <v/>
      </c>
      <c r="E34" t="str">
        <f t="shared" si="21"/>
        <v/>
      </c>
      <c r="F34">
        <f t="shared" si="22"/>
        <v>5</v>
      </c>
      <c r="G34">
        <f t="shared" si="22"/>
        <v>4</v>
      </c>
      <c r="H34">
        <f t="shared" si="16"/>
        <v>3.6715119501371638</v>
      </c>
      <c r="I34">
        <f t="shared" si="17"/>
        <v>0.35355339059327379</v>
      </c>
      <c r="J34" t="str">
        <f t="shared" si="23"/>
        <v>B</v>
      </c>
      <c r="K34">
        <f t="shared" si="18"/>
        <v>0</v>
      </c>
      <c r="M34">
        <f t="shared" si="24"/>
        <v>-1</v>
      </c>
      <c r="N34">
        <f t="shared" si="24"/>
        <v>-1</v>
      </c>
      <c r="O34">
        <f t="shared" si="24"/>
        <v>5</v>
      </c>
      <c r="P34">
        <f t="shared" si="24"/>
        <v>4</v>
      </c>
      <c r="AT34" s="1"/>
    </row>
    <row r="35" spans="1:46">
      <c r="C35" t="s">
        <v>12</v>
      </c>
      <c r="D35">
        <f>AVERAGE(D26:D34)</f>
        <v>1.8</v>
      </c>
      <c r="E35">
        <f>AVERAGE(E26:E34)</f>
        <v>2.2000000000000002</v>
      </c>
      <c r="F35">
        <f>AVERAGE(F26:F34)</f>
        <v>4.75</v>
      </c>
      <c r="G35">
        <f>AVERAGE(G26:G34)</f>
        <v>3.75</v>
      </c>
      <c r="K35">
        <f>SUM(K26:K34)</f>
        <v>0</v>
      </c>
      <c r="AT35" s="1"/>
    </row>
    <row r="36" spans="1:46">
      <c r="AT36" s="1"/>
    </row>
    <row r="37" spans="1:46">
      <c r="AT37" s="1"/>
    </row>
    <row r="41" spans="1:46"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3" spans="1:46">
      <c r="AT43" s="1"/>
    </row>
    <row r="44" spans="1:46">
      <c r="AT44" s="1"/>
    </row>
    <row r="45" spans="1:46">
      <c r="AT45" s="1"/>
    </row>
    <row r="46" spans="1:46">
      <c r="AT46" s="1"/>
    </row>
    <row r="47" spans="1:46">
      <c r="AT47" s="1"/>
    </row>
    <row r="48" spans="1:46">
      <c r="AT48" s="1"/>
    </row>
    <row r="49" spans="46:46">
      <c r="AT49" s="1"/>
    </row>
    <row r="50" spans="46:46">
      <c r="AT50" s="1"/>
    </row>
    <row r="51" spans="46:46">
      <c r="AT51" s="1"/>
    </row>
    <row r="52" spans="46:46">
      <c r="AT52" s="1"/>
    </row>
    <row r="53" spans="46:46">
      <c r="AT53" s="1"/>
    </row>
    <row r="54" spans="46:46">
      <c r="AT54" s="1"/>
    </row>
    <row r="55" spans="46:46">
      <c r="AT55" s="1"/>
    </row>
    <row r="56" spans="46:46">
      <c r="AT56" s="1"/>
    </row>
    <row r="57" spans="46:46">
      <c r="AT57" s="1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7789-847F-4336-AE0B-2041B19127BA}">
  <dimension ref="A1:O11"/>
  <sheetViews>
    <sheetView tabSelected="1" zoomScale="85" zoomScaleNormal="85" workbookViewId="0">
      <selection activeCell="M17" sqref="M17"/>
    </sheetView>
  </sheetViews>
  <sheetFormatPr defaultRowHeight="18"/>
  <cols>
    <col min="4" max="7" width="8.6640625" customWidth="1"/>
    <col min="8" max="8" width="9.33203125" customWidth="1"/>
    <col min="9" max="9" width="9.75" customWidth="1"/>
    <col min="11" max="11" width="9.6640625" bestFit="1" customWidth="1"/>
    <col min="17" max="37" width="3" customWidth="1"/>
  </cols>
  <sheetData>
    <row r="1" spans="1:15" ht="44" customHeight="1">
      <c r="A1" t="s">
        <v>3</v>
      </c>
      <c r="C1" t="s">
        <v>9</v>
      </c>
      <c r="D1" t="s">
        <v>4</v>
      </c>
      <c r="F1" t="s">
        <v>5</v>
      </c>
      <c r="H1" s="2" t="s">
        <v>6</v>
      </c>
      <c r="I1" s="2" t="s">
        <v>7</v>
      </c>
      <c r="J1" s="2" t="s">
        <v>8</v>
      </c>
      <c r="K1" s="2" t="s">
        <v>10</v>
      </c>
      <c r="L1" s="2" t="s">
        <v>11</v>
      </c>
    </row>
    <row r="2" spans="1:15">
      <c r="A2">
        <v>5</v>
      </c>
      <c r="B2">
        <v>2</v>
      </c>
      <c r="C2" t="s">
        <v>14</v>
      </c>
      <c r="D2" t="str">
        <f>IF($C2="A",A2,"")</f>
        <v/>
      </c>
      <c r="E2" t="str">
        <f>IF($C2="A",B2,"")</f>
        <v/>
      </c>
      <c r="F2">
        <f>IF($C2="B",A2,"")</f>
        <v>5</v>
      </c>
      <c r="G2">
        <f>IF($C2="B",B2,"")</f>
        <v>2</v>
      </c>
      <c r="H2">
        <f t="shared" ref="H2:H10" si="0">SQRT((A2-D$11)^2+(B2-E$11)^2)</f>
        <v>3.2062439083762797</v>
      </c>
      <c r="I2">
        <f t="shared" ref="I2:I10" si="1">SQRT((A2-F$11)^2+(B2-G$11)^2)</f>
        <v>1.7677669529663689</v>
      </c>
      <c r="J2" t="str">
        <f>IF(H2&lt;I2,"A","B")</f>
        <v>B</v>
      </c>
      <c r="K2">
        <f t="shared" ref="K2:K10" si="2">IF(C2=J2,0,1)</f>
        <v>0</v>
      </c>
      <c r="L2">
        <f t="shared" ref="L2:O10" si="3">IF(D2&lt;&gt;"",D2,-1)</f>
        <v>-1</v>
      </c>
      <c r="M2">
        <f t="shared" si="3"/>
        <v>-1</v>
      </c>
      <c r="N2">
        <f t="shared" si="3"/>
        <v>5</v>
      </c>
      <c r="O2">
        <f t="shared" si="3"/>
        <v>2</v>
      </c>
    </row>
    <row r="3" spans="1:15">
      <c r="A3">
        <v>3</v>
      </c>
      <c r="B3">
        <v>2</v>
      </c>
      <c r="C3" t="s">
        <v>13</v>
      </c>
      <c r="D3">
        <f t="shared" ref="D3:E10" si="4">IF($C3="A",A3,"")</f>
        <v>3</v>
      </c>
      <c r="E3">
        <f t="shared" si="4"/>
        <v>2</v>
      </c>
      <c r="F3" t="str">
        <f t="shared" ref="F3:G10" si="5">IF($C3="B",A3,"")</f>
        <v/>
      </c>
      <c r="G3" t="str">
        <f t="shared" si="5"/>
        <v/>
      </c>
      <c r="H3">
        <f t="shared" si="0"/>
        <v>1.2165525060596438</v>
      </c>
      <c r="I3">
        <f t="shared" si="1"/>
        <v>2.4748737341529163</v>
      </c>
      <c r="J3" t="str">
        <f t="shared" ref="J3:J10" si="6">IF(H3&lt;I3,"A","B")</f>
        <v>A</v>
      </c>
      <c r="K3">
        <f t="shared" si="2"/>
        <v>0</v>
      </c>
      <c r="L3">
        <f t="shared" si="3"/>
        <v>3</v>
      </c>
      <c r="M3">
        <f t="shared" si="3"/>
        <v>2</v>
      </c>
      <c r="N3">
        <f t="shared" si="3"/>
        <v>-1</v>
      </c>
      <c r="O3">
        <f t="shared" si="3"/>
        <v>-1</v>
      </c>
    </row>
    <row r="4" spans="1:15">
      <c r="A4">
        <v>1</v>
      </c>
      <c r="B4">
        <v>1</v>
      </c>
      <c r="C4" t="s">
        <v>13</v>
      </c>
      <c r="D4">
        <f t="shared" si="4"/>
        <v>1</v>
      </c>
      <c r="E4">
        <f t="shared" si="4"/>
        <v>1</v>
      </c>
      <c r="F4" t="str">
        <f t="shared" si="5"/>
        <v/>
      </c>
      <c r="G4" t="str">
        <f t="shared" si="5"/>
        <v/>
      </c>
      <c r="H4">
        <f t="shared" si="0"/>
        <v>1.4422205101855958</v>
      </c>
      <c r="I4">
        <f t="shared" si="1"/>
        <v>4.6502688094345688</v>
      </c>
      <c r="J4" t="str">
        <f t="shared" si="6"/>
        <v>A</v>
      </c>
      <c r="K4">
        <f t="shared" si="2"/>
        <v>0</v>
      </c>
      <c r="L4">
        <f t="shared" si="3"/>
        <v>1</v>
      </c>
      <c r="M4">
        <f t="shared" si="3"/>
        <v>1</v>
      </c>
      <c r="N4">
        <f t="shared" si="3"/>
        <v>-1</v>
      </c>
      <c r="O4">
        <f t="shared" si="3"/>
        <v>-1</v>
      </c>
    </row>
    <row r="5" spans="1:15">
      <c r="A5">
        <v>2</v>
      </c>
      <c r="B5">
        <v>1</v>
      </c>
      <c r="C5" t="s">
        <v>13</v>
      </c>
      <c r="D5">
        <f t="shared" si="4"/>
        <v>2</v>
      </c>
      <c r="E5">
        <f t="shared" si="4"/>
        <v>1</v>
      </c>
      <c r="F5" t="str">
        <f t="shared" si="5"/>
        <v/>
      </c>
      <c r="G5" t="str">
        <f t="shared" si="5"/>
        <v/>
      </c>
      <c r="H5">
        <f t="shared" si="0"/>
        <v>1.216552506059644</v>
      </c>
      <c r="I5">
        <f t="shared" si="1"/>
        <v>3.8890872965260113</v>
      </c>
      <c r="J5" t="str">
        <f t="shared" si="6"/>
        <v>A</v>
      </c>
      <c r="K5">
        <f t="shared" si="2"/>
        <v>0</v>
      </c>
      <c r="L5">
        <f t="shared" si="3"/>
        <v>2</v>
      </c>
      <c r="M5">
        <f t="shared" si="3"/>
        <v>1</v>
      </c>
      <c r="N5">
        <f t="shared" si="3"/>
        <v>-1</v>
      </c>
      <c r="O5">
        <f t="shared" si="3"/>
        <v>-1</v>
      </c>
    </row>
    <row r="6" spans="1:15">
      <c r="A6">
        <v>2</v>
      </c>
      <c r="B6">
        <v>3</v>
      </c>
      <c r="C6" t="s">
        <v>13</v>
      </c>
      <c r="D6">
        <f t="shared" si="4"/>
        <v>2</v>
      </c>
      <c r="E6">
        <f t="shared" si="4"/>
        <v>3</v>
      </c>
      <c r="F6" t="str">
        <f t="shared" si="5"/>
        <v/>
      </c>
      <c r="G6" t="str">
        <f t="shared" si="5"/>
        <v/>
      </c>
      <c r="H6">
        <f t="shared" si="0"/>
        <v>0.82462112512353192</v>
      </c>
      <c r="I6">
        <f t="shared" si="1"/>
        <v>2.8504385627478448</v>
      </c>
      <c r="J6" t="str">
        <f t="shared" si="6"/>
        <v>A</v>
      </c>
      <c r="K6">
        <f t="shared" si="2"/>
        <v>0</v>
      </c>
      <c r="L6">
        <f t="shared" si="3"/>
        <v>2</v>
      </c>
      <c r="M6">
        <f t="shared" si="3"/>
        <v>3</v>
      </c>
      <c r="N6">
        <f t="shared" si="3"/>
        <v>-1</v>
      </c>
      <c r="O6">
        <f t="shared" si="3"/>
        <v>-1</v>
      </c>
    </row>
    <row r="7" spans="1:15">
      <c r="A7">
        <v>1</v>
      </c>
      <c r="B7">
        <v>4</v>
      </c>
      <c r="C7" t="s">
        <v>13</v>
      </c>
      <c r="D7">
        <f t="shared" si="4"/>
        <v>1</v>
      </c>
      <c r="E7">
        <f t="shared" si="4"/>
        <v>4</v>
      </c>
      <c r="F7" t="str">
        <f t="shared" si="5"/>
        <v/>
      </c>
      <c r="G7" t="str">
        <f t="shared" si="5"/>
        <v/>
      </c>
      <c r="H7">
        <f t="shared" si="0"/>
        <v>1.9697715603592207</v>
      </c>
      <c r="I7">
        <f t="shared" si="1"/>
        <v>3.758324094593227</v>
      </c>
      <c r="J7" t="str">
        <f t="shared" si="6"/>
        <v>A</v>
      </c>
      <c r="K7">
        <f t="shared" si="2"/>
        <v>0</v>
      </c>
      <c r="L7">
        <f t="shared" si="3"/>
        <v>1</v>
      </c>
      <c r="M7">
        <f t="shared" si="3"/>
        <v>4</v>
      </c>
      <c r="N7">
        <f t="shared" si="3"/>
        <v>-1</v>
      </c>
      <c r="O7">
        <f t="shared" si="3"/>
        <v>-1</v>
      </c>
    </row>
    <row r="8" spans="1:15">
      <c r="A8">
        <v>4</v>
      </c>
      <c r="B8">
        <v>4</v>
      </c>
      <c r="C8" t="s">
        <v>14</v>
      </c>
      <c r="D8" t="str">
        <f t="shared" si="4"/>
        <v/>
      </c>
      <c r="E8" t="str">
        <f t="shared" si="4"/>
        <v/>
      </c>
      <c r="F8">
        <f t="shared" si="5"/>
        <v>4</v>
      </c>
      <c r="G8">
        <f t="shared" si="5"/>
        <v>4</v>
      </c>
      <c r="H8">
        <f t="shared" si="0"/>
        <v>2.8425340807103789</v>
      </c>
      <c r="I8">
        <f t="shared" si="1"/>
        <v>0.79056941504209488</v>
      </c>
      <c r="J8" t="str">
        <f t="shared" si="6"/>
        <v>B</v>
      </c>
      <c r="K8">
        <f t="shared" si="2"/>
        <v>0</v>
      </c>
      <c r="L8">
        <f t="shared" si="3"/>
        <v>-1</v>
      </c>
      <c r="M8">
        <f t="shared" si="3"/>
        <v>-1</v>
      </c>
      <c r="N8">
        <f t="shared" si="3"/>
        <v>4</v>
      </c>
      <c r="O8">
        <f t="shared" si="3"/>
        <v>4</v>
      </c>
    </row>
    <row r="9" spans="1:15">
      <c r="A9">
        <v>5</v>
      </c>
      <c r="B9">
        <v>5</v>
      </c>
      <c r="C9" t="s">
        <v>14</v>
      </c>
      <c r="D9" t="str">
        <f t="shared" si="4"/>
        <v/>
      </c>
      <c r="E9" t="str">
        <f t="shared" si="4"/>
        <v/>
      </c>
      <c r="F9">
        <f t="shared" si="5"/>
        <v>5</v>
      </c>
      <c r="G9">
        <f t="shared" si="5"/>
        <v>5</v>
      </c>
      <c r="H9">
        <f t="shared" si="0"/>
        <v>4.2520583250938602</v>
      </c>
      <c r="I9">
        <f t="shared" si="1"/>
        <v>1.2747548783981961</v>
      </c>
      <c r="J9" t="str">
        <f t="shared" si="6"/>
        <v>B</v>
      </c>
      <c r="K9">
        <f t="shared" si="2"/>
        <v>0</v>
      </c>
      <c r="L9">
        <f t="shared" si="3"/>
        <v>-1</v>
      </c>
      <c r="M9">
        <f t="shared" si="3"/>
        <v>-1</v>
      </c>
      <c r="N9">
        <f t="shared" si="3"/>
        <v>5</v>
      </c>
      <c r="O9">
        <f t="shared" si="3"/>
        <v>5</v>
      </c>
    </row>
    <row r="10" spans="1:15" ht="18.5" thickBot="1">
      <c r="A10">
        <v>5</v>
      </c>
      <c r="B10">
        <v>4</v>
      </c>
      <c r="C10" t="s">
        <v>14</v>
      </c>
      <c r="D10" t="str">
        <f t="shared" si="4"/>
        <v/>
      </c>
      <c r="E10" t="str">
        <f t="shared" si="4"/>
        <v/>
      </c>
      <c r="F10">
        <f t="shared" si="5"/>
        <v>5</v>
      </c>
      <c r="G10">
        <f t="shared" si="5"/>
        <v>4</v>
      </c>
      <c r="H10">
        <f t="shared" si="0"/>
        <v>3.6715119501371638</v>
      </c>
      <c r="I10">
        <f t="shared" si="1"/>
        <v>0.35355339059327379</v>
      </c>
      <c r="J10" t="str">
        <f t="shared" si="6"/>
        <v>B</v>
      </c>
      <c r="K10">
        <f t="shared" si="2"/>
        <v>0</v>
      </c>
      <c r="L10">
        <f t="shared" si="3"/>
        <v>-1</v>
      </c>
      <c r="M10">
        <f t="shared" si="3"/>
        <v>-1</v>
      </c>
      <c r="N10">
        <f t="shared" si="3"/>
        <v>5</v>
      </c>
      <c r="O10">
        <f t="shared" si="3"/>
        <v>4</v>
      </c>
    </row>
    <row r="11" spans="1:15" ht="18.5" thickBot="1">
      <c r="C11" t="s">
        <v>12</v>
      </c>
      <c r="D11" s="3">
        <f>AVERAGE(D2:D10)</f>
        <v>1.8</v>
      </c>
      <c r="E11" s="4">
        <f>AVERAGE(E2:E10)</f>
        <v>2.2000000000000002</v>
      </c>
      <c r="F11" s="4">
        <f>AVERAGE(F2:F10)</f>
        <v>4.75</v>
      </c>
      <c r="G11" s="5">
        <f>AVERAGE(G2:G10)</f>
        <v>3.75</v>
      </c>
      <c r="K11">
        <f>SUM(K2:K10)</f>
        <v>0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分類</vt:lpstr>
      <vt:lpstr>分類全手順</vt:lpstr>
      <vt:lpstr>分類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2020-05-17T16:47:38Z</dcterms:modified>
</cp:coreProperties>
</file>